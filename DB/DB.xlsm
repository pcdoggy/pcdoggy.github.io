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G:\OneDrive\gitroot\pcdoggy.github.io\DB\"/>
    </mc:Choice>
  </mc:AlternateContent>
  <xr:revisionPtr revIDLastSave="0" documentId="13_ncr:1_{0D78D331-D267-473F-9B50-D52609FC2840}" xr6:coauthVersionLast="33" xr6:coauthVersionMax="33" xr10:uidLastSave="{00000000-0000-0000-0000-000000000000}"/>
  <bookViews>
    <workbookView xWindow="0" yWindow="240" windowWidth="17070" windowHeight="5085" tabRatio="921" activeTab="12" xr2:uid="{00000000-000D-0000-FFFF-FFFF00000000}"/>
  </bookViews>
  <sheets>
    <sheet name="封页" sheetId="2" r:id="rId1"/>
    <sheet name="设计原则" sheetId="3" r:id="rId2"/>
    <sheet name="履历" sheetId="1" r:id="rId3"/>
    <sheet name="表名一览" sheetId="4" r:id="rId4"/>
    <sheet name="存储过程" sheetId="54" r:id="rId5"/>
    <sheet name="函数" sheetId="60" r:id="rId6"/>
    <sheet name="s_code" sheetId="5" r:id="rId7"/>
    <sheet name="code_content" sheetId="38" r:id="rId8"/>
    <sheet name="s_serial" sheetId="46" r:id="rId9"/>
    <sheet name="s_user" sheetId="64" r:id="rId10"/>
    <sheet name="s_interface" sheetId="65" r:id="rId11"/>
    <sheet name="ebs_book" sheetId="66" r:id="rId12"/>
    <sheet name="ebs_book_content" sheetId="67" r:id="rId13"/>
    <sheet name="m_simcard" sheetId="8" state="hidden" r:id="rId14"/>
    <sheet name="衬页" sheetId="19" r:id="rId15"/>
    <sheet name="模板" sheetId="18" r:id="rId16"/>
  </sheets>
  <functionGroups builtInGroupCount="19"/>
  <definedNames>
    <definedName name="__xlnm._FilterDatabase" localSheetId="3">表名一览!$A$2:$J$28</definedName>
    <definedName name="__xlnm._FilterDatabase" localSheetId="2">履历!$A$5:$N$6</definedName>
    <definedName name="__xlnm._FilterDatabase_1" localSheetId="3">表名一览!$A$2:$J$28</definedName>
    <definedName name="__xlnm._FilterDatabase_1" localSheetId="2">履历!$A$5:$N$6</definedName>
    <definedName name="__xlnm._FilterDatabase_1_1" localSheetId="3">表名一览!$A$2:$J$28</definedName>
    <definedName name="__xlnm._FilterDatabase_1_1" localSheetId="2">履历!$A$5:$N$6</definedName>
    <definedName name="_xlnm._FilterDatabase" localSheetId="3" hidden="1">表名一览!$A$2:$J$31</definedName>
    <definedName name="_xlnm._FilterDatabase" localSheetId="2" hidden="1">履历!$A$5:$N$6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4">衬页!$A$1:$AT$34</definedName>
    <definedName name="_xlnm.Print_Area" localSheetId="1">设计原则!$A$1:$AB$39</definedName>
  </definedNames>
  <calcPr calcId="179017"/>
</workbook>
</file>

<file path=xl/calcChain.xml><?xml version="1.0" encoding="utf-8"?>
<calcChain xmlns="http://schemas.openxmlformats.org/spreadsheetml/2006/main">
  <c r="B5" i="4" l="1"/>
  <c r="B6" i="4"/>
  <c r="B7" i="4"/>
  <c r="B8" i="4"/>
  <c r="B13" i="67"/>
  <c r="B22" i="67"/>
  <c r="B21" i="67"/>
  <c r="B20" i="67"/>
  <c r="B19" i="67"/>
  <c r="B18" i="67"/>
  <c r="B17" i="67"/>
  <c r="B16" i="67"/>
  <c r="B15" i="67"/>
  <c r="B14" i="67"/>
  <c r="Q7" i="67"/>
  <c r="B19" i="66"/>
  <c r="B20" i="66"/>
  <c r="B23" i="66"/>
  <c r="B24" i="66"/>
  <c r="B25" i="66"/>
  <c r="B26" i="66"/>
  <c r="B21" i="66"/>
  <c r="B18" i="66"/>
  <c r="B17" i="66"/>
  <c r="B16" i="66"/>
  <c r="B15" i="66"/>
  <c r="B14" i="66"/>
  <c r="B13" i="66"/>
  <c r="Q7" i="66"/>
  <c r="B17" i="65"/>
  <c r="B16" i="65"/>
  <c r="B15" i="65"/>
  <c r="B14" i="65"/>
  <c r="B13" i="65"/>
  <c r="Q7" i="65"/>
  <c r="B16" i="64"/>
  <c r="B17" i="64"/>
  <c r="B18" i="64"/>
  <c r="B19" i="64"/>
  <c r="B20" i="64"/>
  <c r="B21" i="64"/>
  <c r="B22" i="64"/>
  <c r="B23" i="64"/>
  <c r="B24" i="64"/>
  <c r="B25" i="64"/>
  <c r="B26" i="64"/>
  <c r="B14" i="64"/>
  <c r="B15" i="64"/>
  <c r="B13" i="64"/>
  <c r="Q7" i="64"/>
  <c r="B15" i="46" l="1"/>
  <c r="B14" i="46"/>
  <c r="B13" i="46"/>
  <c r="Q7" i="46"/>
  <c r="B4" i="4"/>
  <c r="B3" i="4" l="1"/>
  <c r="B18" i="8" l="1"/>
  <c r="B27" i="8"/>
  <c r="B26" i="8"/>
  <c r="B25" i="8"/>
  <c r="B24" i="8"/>
  <c r="B23" i="8"/>
  <c r="B22" i="8"/>
  <c r="B21" i="8"/>
  <c r="B20" i="8"/>
  <c r="B19" i="8"/>
  <c r="B17" i="8"/>
  <c r="B15" i="8"/>
  <c r="B14" i="8"/>
  <c r="O18" i="19" l="1"/>
  <c r="O16" i="19"/>
  <c r="O14" i="19"/>
  <c r="B19" i="18"/>
  <c r="B18" i="18"/>
  <c r="B17" i="18"/>
  <c r="B16" i="18"/>
  <c r="B15" i="18"/>
  <c r="B14" i="18"/>
  <c r="B13" i="18"/>
  <c r="Q7" i="18"/>
  <c r="B16" i="8"/>
  <c r="B13" i="8"/>
  <c r="Q7" i="8"/>
  <c r="B19" i="5"/>
  <c r="B18" i="5"/>
  <c r="B17" i="5"/>
  <c r="B16" i="5"/>
  <c r="B15" i="5"/>
  <c r="B14" i="5"/>
  <c r="B13" i="5"/>
  <c r="Q7" i="5"/>
</calcChain>
</file>

<file path=xl/sharedStrings.xml><?xml version="1.0" encoding="utf-8"?>
<sst xmlns="http://schemas.openxmlformats.org/spreadsheetml/2006/main" count="737" uniqueCount="309">
  <si>
    <t>改版履历</t>
  </si>
  <si>
    <t>文档名：
数据表结构设计书</t>
  </si>
  <si>
    <t>区分说明 ： 新建、追加、修改、删除</t>
  </si>
  <si>
    <t>版</t>
  </si>
  <si>
    <t>日期</t>
  </si>
  <si>
    <t>区分</t>
  </si>
  <si>
    <t>修改人</t>
  </si>
  <si>
    <t>主要修改场所</t>
  </si>
  <si>
    <t>修改内容</t>
  </si>
  <si>
    <t>备注</t>
  </si>
  <si>
    <t>1.0</t>
  </si>
  <si>
    <t>新建</t>
  </si>
  <si>
    <t>新建文档</t>
  </si>
  <si>
    <t>编号</t>
  </si>
  <si>
    <t>系统名</t>
  </si>
  <si>
    <t>模块名</t>
  </si>
  <si>
    <t>数据库（DB）</t>
  </si>
  <si>
    <t>文档名</t>
  </si>
  <si>
    <t>数据表结构设计书</t>
  </si>
  <si>
    <t>履历</t>
  </si>
  <si>
    <t>版本</t>
  </si>
  <si>
    <t>年月日</t>
  </si>
  <si>
    <t>改订内容</t>
  </si>
  <si>
    <t>承认</t>
  </si>
  <si>
    <t>查阅</t>
  </si>
  <si>
    <t>作者</t>
  </si>
  <si>
    <t>【设计原则】</t>
  </si>
  <si>
    <t>1、主键</t>
  </si>
  <si>
    <t>基础表</t>
  </si>
  <si>
    <t>使用业务字段（组合）</t>
  </si>
  <si>
    <t>非分区表</t>
  </si>
  <si>
    <t>2、业务数据类型限定</t>
  </si>
  <si>
    <t>代号</t>
  </si>
  <si>
    <t>数值</t>
  </si>
  <si>
    <t>字符串</t>
  </si>
  <si>
    <t>时间</t>
  </si>
  <si>
    <t>时间戳</t>
  </si>
  <si>
    <t>用于记录数据录入、更新时间</t>
  </si>
  <si>
    <t>3、数据存储</t>
  </si>
  <si>
    <t>4、外键约束</t>
  </si>
  <si>
    <t>本系统不用外键约束，数据完整性由程序控制，保证并发性能</t>
  </si>
  <si>
    <t>表名一览</t>
  </si>
  <si>
    <t>№</t>
  </si>
  <si>
    <t>表名</t>
  </si>
  <si>
    <t>类型</t>
  </si>
  <si>
    <t>表ID</t>
  </si>
  <si>
    <t>分区</t>
  </si>
  <si>
    <t>行大小</t>
  </si>
  <si>
    <t>记录数</t>
  </si>
  <si>
    <t>容量（1年）</t>
  </si>
  <si>
    <t>○</t>
  </si>
  <si>
    <t>代号定义</t>
  </si>
  <si>
    <t>数据量：</t>
  </si>
  <si>
    <t>类别</t>
  </si>
  <si>
    <t>标题</t>
  </si>
  <si>
    <t>修改履历</t>
  </si>
  <si>
    <t>担当</t>
  </si>
  <si>
    <t>业务DB</t>
  </si>
  <si>
    <t>表/文件结构</t>
  </si>
  <si>
    <t>ID</t>
  </si>
  <si>
    <t>DB名</t>
  </si>
  <si>
    <t>名称</t>
  </si>
  <si>
    <t>记录长</t>
  </si>
  <si>
    <t>种别</t>
  </si>
  <si>
    <t>■Master  □Transaction  □其他（　　）</t>
  </si>
  <si>
    <t>保存场所</t>
  </si>
  <si>
    <r>
      <rPr>
        <sz val="9"/>
        <rFont val="MS UI Gothic"/>
        <family val="2"/>
        <charset val="128"/>
      </rPr>
      <t>■数据</t>
    </r>
    <r>
      <rPr>
        <sz val="9"/>
        <rFont val="宋体"/>
        <family val="3"/>
        <charset val="134"/>
      </rPr>
      <t>库</t>
    </r>
    <r>
      <rPr>
        <sz val="9"/>
        <rFont val="MS UI Gothic"/>
        <family val="2"/>
        <charset val="128"/>
      </rPr>
      <t>服</t>
    </r>
    <r>
      <rPr>
        <sz val="9"/>
        <rFont val="宋体"/>
        <family val="3"/>
        <charset val="134"/>
      </rPr>
      <t>务器</t>
    </r>
    <r>
      <rPr>
        <sz val="9"/>
        <rFont val="MS UI Gothic"/>
        <family val="2"/>
        <charset val="128"/>
      </rPr>
      <t>（）</t>
    </r>
  </si>
  <si>
    <t>周期</t>
  </si>
  <si>
    <t>□日次  □周次  □月次  ■随时  □其他(　　)</t>
  </si>
  <si>
    <r>
      <rPr>
        <sz val="9"/>
        <rFont val="MS UI Gothic"/>
        <family val="2"/>
        <charset val="128"/>
      </rPr>
      <t>□客</t>
    </r>
    <r>
      <rPr>
        <sz val="9"/>
        <rFont val="宋体"/>
        <family val="3"/>
        <charset val="134"/>
      </rPr>
      <t>户</t>
    </r>
    <r>
      <rPr>
        <sz val="9"/>
        <rFont val="MS UI Gothic"/>
        <family val="2"/>
        <charset val="128"/>
      </rPr>
      <t>端</t>
    </r>
  </si>
  <si>
    <t>保存期间</t>
  </si>
  <si>
    <t>□其他（　　　）</t>
  </si>
  <si>
    <t>项目名称</t>
  </si>
  <si>
    <t>字长</t>
  </si>
  <si>
    <t>INDEX</t>
  </si>
  <si>
    <t>NULL</t>
  </si>
  <si>
    <t>符号</t>
  </si>
  <si>
    <t>PC</t>
  </si>
  <si>
    <t>Ｓ</t>
  </si>
  <si>
    <t>分类1</t>
  </si>
  <si>
    <t>smallint</t>
  </si>
  <si>
    <t>not</t>
  </si>
  <si>
    <t>分类2</t>
  </si>
  <si>
    <t>character varying</t>
  </si>
  <si>
    <t>辅助内容</t>
  </si>
  <si>
    <t>使用区分</t>
  </si>
  <si>
    <t>□Master  ■Transaction  □其他（　　）</t>
  </si>
  <si>
    <t>ＪＣＬ</t>
  </si>
  <si>
    <t>SIM信息</t>
    <phoneticPr fontId="3" type="noConversion"/>
  </si>
  <si>
    <t>character varying</t>
    <phoneticPr fontId="3" type="noConversion"/>
  </si>
  <si>
    <t>运营商</t>
    <phoneticPr fontId="3" type="noConversion"/>
  </si>
  <si>
    <t>类别</t>
    <phoneticPr fontId="3" type="noConversion"/>
  </si>
  <si>
    <t>卡号</t>
    <phoneticPr fontId="3" type="noConversion"/>
  </si>
  <si>
    <t>串号（ICCID）</t>
    <phoneticPr fontId="3" type="noConversion"/>
  </si>
  <si>
    <t>区域</t>
    <phoneticPr fontId="3" type="noConversion"/>
  </si>
  <si>
    <t>IMSI</t>
    <phoneticPr fontId="3" type="noConversion"/>
  </si>
  <si>
    <t>PIN码</t>
    <phoneticPr fontId="3" type="noConversion"/>
  </si>
  <si>
    <t>character varying</t>
    <phoneticPr fontId="3" type="noConversion"/>
  </si>
  <si>
    <t>状态</t>
    <phoneticPr fontId="3" type="noConversion"/>
  </si>
  <si>
    <t>ID</t>
    <phoneticPr fontId="3" type="noConversion"/>
  </si>
  <si>
    <t>serial</t>
    <phoneticPr fontId="3" type="noConversion"/>
  </si>
  <si>
    <t>更新时间</t>
    <phoneticPr fontId="3" type="noConversion"/>
  </si>
  <si>
    <t>更新人</t>
    <phoneticPr fontId="3" type="noConversion"/>
  </si>
  <si>
    <t>not</t>
    <phoneticPr fontId="3" type="noConversion"/>
  </si>
  <si>
    <t>套餐ID</t>
    <phoneticPr fontId="3" type="noConversion"/>
  </si>
  <si>
    <t>bigint</t>
    <phoneticPr fontId="3" type="noConversion"/>
  </si>
  <si>
    <t>1:物联网卡，2：手机</t>
    <phoneticPr fontId="3" type="noConversion"/>
  </si>
  <si>
    <t>YD,DX,LT</t>
  </si>
  <si>
    <t>telnumber</t>
    <phoneticPr fontId="3" type="noConversion"/>
  </si>
  <si>
    <t>null</t>
    <phoneticPr fontId="3" type="noConversion"/>
  </si>
  <si>
    <t>telcom</t>
  </si>
  <si>
    <t>cartype</t>
    <phoneticPr fontId="3" type="noConversion"/>
  </si>
  <si>
    <t>ICCID</t>
    <phoneticPr fontId="3" type="noConversion"/>
  </si>
  <si>
    <t>area</t>
    <phoneticPr fontId="3" type="noConversion"/>
  </si>
  <si>
    <t>PIN</t>
    <phoneticPr fontId="3" type="noConversion"/>
  </si>
  <si>
    <t>state</t>
    <phoneticPr fontId="3" type="noConversion"/>
  </si>
  <si>
    <t>packageid</t>
    <phoneticPr fontId="3" type="noConversion"/>
  </si>
  <si>
    <t>录入人</t>
    <phoneticPr fontId="3" type="noConversion"/>
  </si>
  <si>
    <t>录入时间</t>
    <phoneticPr fontId="3" type="noConversion"/>
  </si>
  <si>
    <t>reguser</t>
    <phoneticPr fontId="3" type="noConversion"/>
  </si>
  <si>
    <t>regtime</t>
    <phoneticPr fontId="3" type="noConversion"/>
  </si>
  <si>
    <t>uptime</t>
    <phoneticPr fontId="3" type="noConversion"/>
  </si>
  <si>
    <t>upuser</t>
    <phoneticPr fontId="3" type="noConversion"/>
  </si>
  <si>
    <t>卡剩余流量</t>
    <phoneticPr fontId="3" type="noConversion"/>
  </si>
  <si>
    <t>surolusFlow</t>
    <phoneticPr fontId="3" type="noConversion"/>
  </si>
  <si>
    <t>timestamp without time zone</t>
    <phoneticPr fontId="3" type="noConversion"/>
  </si>
  <si>
    <t>1024M</t>
    <phoneticPr fontId="3" type="noConversion"/>
  </si>
  <si>
    <t>?</t>
    <phoneticPr fontId="3" type="noConversion"/>
  </si>
  <si>
    <t>m_simcard</t>
    <phoneticPr fontId="3" type="noConversion"/>
  </si>
  <si>
    <t>smallint</t>
    <phoneticPr fontId="3" type="noConversion"/>
  </si>
  <si>
    <t>code</t>
    <phoneticPr fontId="3" type="noConversion"/>
  </si>
  <si>
    <t>name</t>
    <phoneticPr fontId="3" type="noConversion"/>
  </si>
  <si>
    <t>sub1</t>
    <phoneticPr fontId="3" type="noConversion"/>
  </si>
  <si>
    <t>sub2</t>
    <phoneticPr fontId="3" type="noConversion"/>
  </si>
  <si>
    <t>useflag</t>
    <phoneticPr fontId="3" type="noConversion"/>
  </si>
  <si>
    <t>int</t>
    <phoneticPr fontId="3" type="noConversion"/>
  </si>
  <si>
    <t>varchar</t>
    <phoneticPr fontId="3" type="noConversion"/>
  </si>
  <si>
    <t>bit</t>
    <phoneticPr fontId="3" type="noConversion"/>
  </si>
  <si>
    <t>datetime</t>
    <phoneticPr fontId="3" type="noConversion"/>
  </si>
  <si>
    <t>s_code</t>
  </si>
  <si>
    <t>s_code</t>
    <phoneticPr fontId="3" type="noConversion"/>
  </si>
  <si>
    <t>排序字段</t>
    <phoneticPr fontId="3" type="noConversion"/>
  </si>
  <si>
    <t>orderid</t>
    <phoneticPr fontId="3" type="noConversion"/>
  </si>
  <si>
    <t>代号定义</t>
    <phoneticPr fontId="3" type="noConversion"/>
  </si>
  <si>
    <t>varchar</t>
    <phoneticPr fontId="3" type="noConversion"/>
  </si>
  <si>
    <t>S</t>
    <phoneticPr fontId="3" type="noConversion"/>
  </si>
  <si>
    <t>葛</t>
    <phoneticPr fontId="3" type="noConversion"/>
  </si>
  <si>
    <t>Code一览定义（内容）</t>
  </si>
  <si>
    <t>类别名</t>
  </si>
  <si>
    <t>大区分</t>
  </si>
  <si>
    <t>中区分</t>
  </si>
  <si>
    <t>内容</t>
  </si>
  <si>
    <t>辅助内容</t>
    <phoneticPr fontId="23" type="noConversion"/>
  </si>
  <si>
    <t>使用区分</t>
    <phoneticPr fontId="23" type="noConversion"/>
  </si>
  <si>
    <t>[系统定义]</t>
    <phoneticPr fontId="23" type="noConversion"/>
  </si>
  <si>
    <t>排序字段</t>
    <phoneticPr fontId="3" type="noConversion"/>
  </si>
  <si>
    <t>基础定义编码</t>
    <phoneticPr fontId="3" type="noConversion"/>
  </si>
  <si>
    <t>基础定义名称</t>
    <phoneticPr fontId="3" type="noConversion"/>
  </si>
  <si>
    <t>int</t>
    <phoneticPr fontId="3" type="noConversion"/>
  </si>
  <si>
    <t>telno</t>
    <phoneticPr fontId="3" type="noConversion"/>
  </si>
  <si>
    <t>username</t>
    <phoneticPr fontId="3" type="noConversion"/>
  </si>
  <si>
    <t>instime</t>
    <phoneticPr fontId="3" type="noConversion"/>
  </si>
  <si>
    <t>updtime</t>
    <phoneticPr fontId="3" type="noConversion"/>
  </si>
  <si>
    <t>密码</t>
    <phoneticPr fontId="3" type="noConversion"/>
  </si>
  <si>
    <t>用户类型</t>
    <phoneticPr fontId="3" type="noConversion"/>
  </si>
  <si>
    <t>联系电话</t>
    <phoneticPr fontId="3" type="noConversion"/>
  </si>
  <si>
    <t>nvarchar</t>
    <phoneticPr fontId="3" type="noConversion"/>
  </si>
  <si>
    <t>关键字：TCyyyyMMddHH0001</t>
    <phoneticPr fontId="3" type="noConversion"/>
  </si>
  <si>
    <t>nvarchar</t>
    <phoneticPr fontId="3" type="noConversion"/>
  </si>
  <si>
    <t>notes</t>
    <phoneticPr fontId="3" type="noConversion"/>
  </si>
  <si>
    <t>说明</t>
    <phoneticPr fontId="3" type="noConversion"/>
  </si>
  <si>
    <t>[业务类别定义]</t>
    <phoneticPr fontId="23" type="noConversion"/>
  </si>
  <si>
    <t>备注</t>
    <phoneticPr fontId="23" type="noConversion"/>
  </si>
  <si>
    <t>使用int，自增</t>
    <phoneticPr fontId="3" type="noConversion"/>
  </si>
  <si>
    <r>
      <t>n</t>
    </r>
    <r>
      <rPr>
        <sz val="12"/>
        <rFont val="宋体"/>
        <family val="3"/>
        <charset val="134"/>
      </rPr>
      <t>varchar(n)</t>
    </r>
    <phoneticPr fontId="3" type="noConversion"/>
  </si>
  <si>
    <r>
      <t>d</t>
    </r>
    <r>
      <rPr>
        <sz val="12"/>
        <rFont val="宋体"/>
        <family val="3"/>
        <charset val="134"/>
      </rPr>
      <t>ate</t>
    </r>
    <phoneticPr fontId="3" type="noConversion"/>
  </si>
  <si>
    <r>
      <t>d</t>
    </r>
    <r>
      <rPr>
        <sz val="12"/>
        <rFont val="宋体"/>
        <family val="3"/>
        <charset val="134"/>
      </rPr>
      <t>atetime</t>
    </r>
    <phoneticPr fontId="3" type="noConversion"/>
  </si>
  <si>
    <t>datetime</t>
    <phoneticPr fontId="3" type="noConversion"/>
  </si>
  <si>
    <t>存在中英文情况</t>
    <phoneticPr fontId="3" type="noConversion"/>
  </si>
  <si>
    <t>varchar(n)</t>
    <phoneticPr fontId="3" type="noConversion"/>
  </si>
  <si>
    <t>只有英文、数字情况</t>
    <phoneticPr fontId="3" type="noConversion"/>
  </si>
  <si>
    <r>
      <t>s</t>
    </r>
    <r>
      <rPr>
        <sz val="12"/>
        <rFont val="宋体"/>
        <family val="3"/>
        <charset val="134"/>
      </rPr>
      <t>_</t>
    </r>
    <phoneticPr fontId="3" type="noConversion"/>
  </si>
  <si>
    <t>表名定义原则</t>
    <phoneticPr fontId="3" type="noConversion"/>
  </si>
  <si>
    <r>
      <t>t</t>
    </r>
    <r>
      <rPr>
        <sz val="12"/>
        <rFont val="宋体"/>
        <family val="3"/>
        <charset val="134"/>
      </rPr>
      <t>_</t>
    </r>
    <phoneticPr fontId="3" type="noConversion"/>
  </si>
  <si>
    <t>编号定义原则</t>
    <phoneticPr fontId="3" type="noConversion"/>
  </si>
  <si>
    <t>usertype</t>
    <phoneticPr fontId="3" type="noConversion"/>
  </si>
  <si>
    <t>max</t>
    <phoneticPr fontId="3" type="noConversion"/>
  </si>
  <si>
    <t>s_serial</t>
    <phoneticPr fontId="3" type="noConversion"/>
  </si>
  <si>
    <t>s_serial</t>
    <phoneticPr fontId="3" type="noConversion"/>
  </si>
  <si>
    <t>序号定义</t>
    <phoneticPr fontId="3" type="noConversion"/>
  </si>
  <si>
    <t>character1</t>
    <phoneticPr fontId="3" type="noConversion"/>
  </si>
  <si>
    <t>character2</t>
    <phoneticPr fontId="3" type="noConversion"/>
  </si>
  <si>
    <t>标识号1</t>
    <phoneticPr fontId="3" type="noConversion"/>
  </si>
  <si>
    <t>标识号2</t>
    <phoneticPr fontId="3" type="noConversion"/>
  </si>
  <si>
    <t>当前标识1+标识2对应的序号</t>
    <phoneticPr fontId="3" type="noConversion"/>
  </si>
  <si>
    <t>varchar</t>
    <phoneticPr fontId="3" type="noConversion"/>
  </si>
  <si>
    <t>curnumber</t>
    <phoneticPr fontId="3" type="noConversion"/>
  </si>
  <si>
    <t>编号定义</t>
    <phoneticPr fontId="3" type="noConversion"/>
  </si>
  <si>
    <t>存储过程定义一览</t>
  </si>
  <si>
    <t>名称</t>
    <phoneticPr fontId="3" type="noConversion"/>
  </si>
  <si>
    <t>说明</t>
    <phoneticPr fontId="3" type="noConversion"/>
  </si>
  <si>
    <t>使用中</t>
    <phoneticPr fontId="3" type="noConversion"/>
  </si>
  <si>
    <t>NO</t>
    <phoneticPr fontId="3" type="noConversion"/>
  </si>
  <si>
    <t>alter table t_exchange add basepoints int not null</t>
  </si>
  <si>
    <t>函数定义一览</t>
    <phoneticPr fontId="3" type="noConversion"/>
  </si>
  <si>
    <t>chinese_firstletter</t>
  </si>
  <si>
    <t>result_split_keys</t>
  </si>
  <si>
    <t>根据提交的待查询字符串，获取各查询条件关键字，使用“,”（英文逗号）区分</t>
  </si>
  <si>
    <t>获取首字母</t>
    <phoneticPr fontId="3" type="noConversion"/>
  </si>
  <si>
    <t>付款状态，sub1=2,sub2=5
250001 = WAITTING-待支付
250002 = SUCCESS—支付成功
250003 = REFUND—转入退款
250004 = NOTPAY—未支付
250005 = CLOSED—已关闭
250006 = PAYERROR—支付失败(其他原因，如银行返回失败)</t>
    <phoneticPr fontId="3" type="noConversion"/>
  </si>
  <si>
    <t>decimal(10,4)</t>
    <phoneticPr fontId="3" type="noConversion"/>
  </si>
  <si>
    <t>varchar(6)</t>
    <phoneticPr fontId="3" type="noConversion"/>
  </si>
  <si>
    <t>系统基础定义、系统表</t>
    <phoneticPr fontId="3" type="noConversion"/>
  </si>
  <si>
    <t>业务相关</t>
    <phoneticPr fontId="3" type="noConversion"/>
  </si>
  <si>
    <t>*_</t>
    <phoneticPr fontId="3" type="noConversion"/>
  </si>
  <si>
    <t>具体功能相关表，已功能描述开头</t>
    <phoneticPr fontId="3" type="noConversion"/>
  </si>
  <si>
    <t>详见表定义</t>
    <phoneticPr fontId="3" type="noConversion"/>
  </si>
  <si>
    <t>2018.06.06</t>
    <phoneticPr fontId="3" type="noConversion"/>
  </si>
  <si>
    <t>s_user</t>
  </si>
  <si>
    <t>s_user</t>
    <phoneticPr fontId="3" type="noConversion"/>
  </si>
  <si>
    <t>系统用户表</t>
    <phoneticPr fontId="3" type="noConversion"/>
  </si>
  <si>
    <t>uid</t>
    <phoneticPr fontId="3" type="noConversion"/>
  </si>
  <si>
    <t>userno</t>
    <phoneticPr fontId="3" type="noConversion"/>
  </si>
  <si>
    <t>userpass</t>
    <phoneticPr fontId="3" type="noConversion"/>
  </si>
  <si>
    <t>validcode</t>
    <phoneticPr fontId="3" type="noConversion"/>
  </si>
  <si>
    <t>validtime</t>
    <phoneticPr fontId="3" type="noConversion"/>
  </si>
  <si>
    <t>token</t>
    <phoneticPr fontId="3" type="noConversion"/>
  </si>
  <si>
    <t>tokentime</t>
    <phoneticPr fontId="3" type="noConversion"/>
  </si>
  <si>
    <t>用户序号</t>
    <phoneticPr fontId="3" type="noConversion"/>
  </si>
  <si>
    <t>用户编号</t>
    <phoneticPr fontId="3" type="noConversion"/>
  </si>
  <si>
    <t>nickname</t>
    <phoneticPr fontId="3" type="noConversion"/>
  </si>
  <si>
    <t>用户昵称</t>
    <phoneticPr fontId="3" type="noConversion"/>
  </si>
  <si>
    <t>用户名称</t>
    <phoneticPr fontId="3" type="noConversion"/>
  </si>
  <si>
    <t>验证码</t>
    <phoneticPr fontId="3" type="noConversion"/>
  </si>
  <si>
    <t>验证码有效期</t>
    <phoneticPr fontId="3" type="noConversion"/>
  </si>
  <si>
    <t>token有效期</t>
    <phoneticPr fontId="3" type="noConversion"/>
  </si>
  <si>
    <t>注册时间</t>
    <phoneticPr fontId="3" type="noConversion"/>
  </si>
  <si>
    <t>注册邮箱</t>
    <phoneticPr fontId="3" type="noConversion"/>
  </si>
  <si>
    <t>useremail</t>
    <phoneticPr fontId="3" type="noConversion"/>
  </si>
  <si>
    <t>s_interface</t>
  </si>
  <si>
    <t>s_interface</t>
    <phoneticPr fontId="3" type="noConversion"/>
  </si>
  <si>
    <t>用户接口表</t>
    <phoneticPr fontId="3" type="noConversion"/>
  </si>
  <si>
    <t>iid</t>
    <phoneticPr fontId="3" type="noConversion"/>
  </si>
  <si>
    <t>intertype</t>
    <phoneticPr fontId="3" type="noConversion"/>
  </si>
  <si>
    <t>clientsystime</t>
    <phoneticPr fontId="3" type="noConversion"/>
  </si>
  <si>
    <t>接口序号</t>
    <phoneticPr fontId="3" type="noConversion"/>
  </si>
  <si>
    <t>接口类型</t>
    <phoneticPr fontId="3" type="noConversion"/>
  </si>
  <si>
    <t>接口token</t>
    <phoneticPr fontId="3" type="noConversion"/>
  </si>
  <si>
    <t>ebs_book</t>
  </si>
  <si>
    <t>ebs_book</t>
    <phoneticPr fontId="3" type="noConversion"/>
  </si>
  <si>
    <t>电子书--书籍基本信息</t>
    <phoneticPr fontId="3" type="noConversion"/>
  </si>
  <si>
    <t>bid</t>
    <phoneticPr fontId="3" type="noConversion"/>
  </si>
  <si>
    <t>bno</t>
    <phoneticPr fontId="3" type="noConversion"/>
  </si>
  <si>
    <t>btitle</t>
    <phoneticPr fontId="3" type="noConversion"/>
  </si>
  <si>
    <t>burl</t>
    <phoneticPr fontId="3" type="noConversion"/>
  </si>
  <si>
    <t>author</t>
    <phoneticPr fontId="3" type="noConversion"/>
  </si>
  <si>
    <t>briefintro</t>
    <phoneticPr fontId="3" type="noConversion"/>
  </si>
  <si>
    <t>chapcount</t>
    <phoneticPr fontId="3" type="noConversion"/>
  </si>
  <si>
    <t>insuser</t>
    <phoneticPr fontId="3" type="noConversion"/>
  </si>
  <si>
    <t>upduser</t>
    <phoneticPr fontId="3" type="noConversion"/>
  </si>
  <si>
    <t>书籍序号</t>
    <phoneticPr fontId="3" type="noConversion"/>
  </si>
  <si>
    <t>书籍编号</t>
    <phoneticPr fontId="3" type="noConversion"/>
  </si>
  <si>
    <t>书名</t>
    <phoneticPr fontId="3" type="noConversion"/>
  </si>
  <si>
    <t>原链接地址</t>
    <phoneticPr fontId="3" type="noConversion"/>
  </si>
  <si>
    <t>作者</t>
    <phoneticPr fontId="3" type="noConversion"/>
  </si>
  <si>
    <t>简介</t>
    <phoneticPr fontId="3" type="noConversion"/>
  </si>
  <si>
    <t>章节数</t>
    <phoneticPr fontId="3" type="noConversion"/>
  </si>
  <si>
    <t>导入人</t>
    <phoneticPr fontId="3" type="noConversion"/>
  </si>
  <si>
    <t>导入时间</t>
    <phoneticPr fontId="3" type="noConversion"/>
  </si>
  <si>
    <t>分类</t>
    <phoneticPr fontId="3" type="noConversion"/>
  </si>
  <si>
    <t>btype</t>
    <phoneticPr fontId="3" type="noConversion"/>
  </si>
  <si>
    <t>bstatus</t>
    <phoneticPr fontId="3" type="noConversion"/>
  </si>
  <si>
    <t>书籍分类</t>
    <phoneticPr fontId="3" type="noConversion"/>
  </si>
  <si>
    <t>书籍更新状态：已完结、更新中</t>
    <phoneticPr fontId="3" type="noConversion"/>
  </si>
  <si>
    <t>conno</t>
    <phoneticPr fontId="3" type="noConversion"/>
  </si>
  <si>
    <t>chapindex</t>
    <phoneticPr fontId="3" type="noConversion"/>
  </si>
  <si>
    <t>章节序号</t>
    <phoneticPr fontId="3" type="noConversion"/>
  </si>
  <si>
    <t>chapname</t>
    <phoneticPr fontId="3" type="noConversion"/>
  </si>
  <si>
    <t>章节名称</t>
    <phoneticPr fontId="3" type="noConversion"/>
  </si>
  <si>
    <t>chapcontent</t>
    <phoneticPr fontId="3" type="noConversion"/>
  </si>
  <si>
    <t>chapurl</t>
    <phoneticPr fontId="3" type="noConversion"/>
  </si>
  <si>
    <t>章节统一编号</t>
    <phoneticPr fontId="3" type="noConversion"/>
  </si>
  <si>
    <t>章节内容</t>
    <phoneticPr fontId="3" type="noConversion"/>
  </si>
  <si>
    <t>章节对应原链接</t>
    <phoneticPr fontId="3" type="noConversion"/>
  </si>
  <si>
    <t>新建表</t>
    <phoneticPr fontId="3" type="noConversion"/>
  </si>
  <si>
    <t>修改code_content</t>
    <phoneticPr fontId="3" type="noConversion"/>
  </si>
  <si>
    <t>2018/06/06</t>
    <phoneticPr fontId="3" type="noConversion"/>
  </si>
  <si>
    <t>s_code、s_serial、s_user、s_interface、ebs_book、ebs_book_content</t>
    <phoneticPr fontId="3" type="noConversion"/>
  </si>
  <si>
    <t>添加基础定义、业务定义</t>
    <phoneticPr fontId="3" type="noConversion"/>
  </si>
  <si>
    <t>系统用户</t>
    <phoneticPr fontId="3" type="noConversion"/>
  </si>
  <si>
    <t>S</t>
    <phoneticPr fontId="3" type="noConversion"/>
  </si>
  <si>
    <t>系统用户接口</t>
    <phoneticPr fontId="3" type="noConversion"/>
  </si>
  <si>
    <t>电子书--书籍基本信息</t>
    <phoneticPr fontId="3" type="noConversion"/>
  </si>
  <si>
    <t>T</t>
    <phoneticPr fontId="3" type="noConversion"/>
  </si>
  <si>
    <t>电子书--书籍章节信息详情</t>
    <phoneticPr fontId="3" type="noConversion"/>
  </si>
  <si>
    <t>电子书--书籍章节信息详情</t>
    <phoneticPr fontId="3" type="noConversion"/>
  </si>
  <si>
    <t>ebs_book_content</t>
  </si>
  <si>
    <t>hello_db</t>
    <phoneticPr fontId="3" type="noConversion"/>
  </si>
  <si>
    <t>ebs_book_content</t>
    <phoneticPr fontId="3" type="noConversion"/>
  </si>
  <si>
    <t>视图-&gt;宏-&gt;查看宏-&gt;createTBSql-&gt;执行</t>
    <phoneticPr fontId="3" type="noConversion"/>
  </si>
  <si>
    <t>书籍封面图片</t>
    <phoneticPr fontId="3" type="noConversion"/>
  </si>
  <si>
    <t>bcover</t>
    <phoneticPr fontId="3" type="noConversion"/>
  </si>
  <si>
    <t>not</t>
    <phoneticPr fontId="3" type="noConversion"/>
  </si>
  <si>
    <t>2018.06.20</t>
    <phoneticPr fontId="3" type="noConversion"/>
  </si>
  <si>
    <t>修改</t>
    <phoneticPr fontId="3" type="noConversion"/>
  </si>
  <si>
    <t>葛</t>
    <phoneticPr fontId="3" type="noConversion"/>
  </si>
  <si>
    <t>修改表</t>
    <phoneticPr fontId="3" type="noConversion"/>
  </si>
  <si>
    <t>ebs_book中添加字段“bcover（书籍封面图片）”</t>
    <phoneticPr fontId="3" type="noConversion"/>
  </si>
  <si>
    <t>书籍分类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</si>
</sst>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 * #,##0.00_ ;_ * \-#,##0.00_ ;_ * &quot;-&quot;??_ ;_ @_ "/>
    <numFmt numFmtId="176" formatCode="AM/PMh&quot;时&quot;mm&quot;分&quot;ss&quot;秒&quot;"/>
    <numFmt numFmtId="177" formatCode="yyyy\-m\-d"/>
    <numFmt numFmtId="178" formatCode="##,###&quot;件&quot;"/>
    <numFmt numFmtId="179" formatCode="#,##0_ "/>
    <numFmt numFmtId="180" formatCode="#,##0.00_ "/>
    <numFmt numFmtId="181" formatCode="yyyy/mm/dd"/>
    <numFmt numFmtId="182" formatCode="yyyy\.mm\.dd"/>
    <numFmt numFmtId="183" formatCode="0_);[Red]\(0\)"/>
  </numFmts>
  <fonts count="28">
    <font>
      <sz val="12"/>
      <name val="宋体"/>
      <charset val="134"/>
    </font>
    <font>
      <sz val="11"/>
      <name val="ＭＳ 明朝"/>
      <family val="3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9"/>
      <name val="楷体_GB2312"/>
      <charset val="134"/>
    </font>
    <font>
      <b/>
      <sz val="12"/>
      <name val="宋体"/>
      <family val="3"/>
      <charset val="134"/>
    </font>
    <font>
      <sz val="9"/>
      <name val="MS UI Gothic"/>
      <family val="2"/>
      <charset val="128"/>
    </font>
    <font>
      <sz val="10"/>
      <name val="宋体"/>
      <family val="3"/>
      <charset val="134"/>
    </font>
    <font>
      <b/>
      <sz val="11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1"/>
      <color indexed="10"/>
      <name val="宋体"/>
      <family val="3"/>
      <charset val="134"/>
    </font>
    <font>
      <b/>
      <i/>
      <sz val="11"/>
      <name val="宋体"/>
      <family val="3"/>
      <charset val="134"/>
    </font>
    <font>
      <b/>
      <i/>
      <sz val="14"/>
      <name val="宋体"/>
      <family val="3"/>
      <charset val="134"/>
    </font>
    <font>
      <sz val="14"/>
      <name val="宋体"/>
      <family val="3"/>
      <charset val="134"/>
    </font>
    <font>
      <b/>
      <sz val="14"/>
      <name val="宋体"/>
      <family val="3"/>
      <charset val="134"/>
    </font>
    <font>
      <i/>
      <sz val="14"/>
      <name val="宋体"/>
      <family val="3"/>
      <charset val="134"/>
    </font>
    <font>
      <sz val="8"/>
      <name val="宋体"/>
      <family val="3"/>
      <charset val="134"/>
    </font>
    <font>
      <sz val="11"/>
      <name val="ＭＳ Ｐゴシック"/>
      <family val="2"/>
    </font>
    <font>
      <sz val="12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0"/>
      <name val="Arial"/>
      <family val="2"/>
    </font>
    <font>
      <b/>
      <u/>
      <sz val="11"/>
      <name val="宋体"/>
      <family val="3"/>
      <charset val="134"/>
    </font>
    <font>
      <sz val="11"/>
      <color rgb="FF000000"/>
      <name val="宋体"/>
      <family val="2"/>
      <charset val="134"/>
    </font>
    <font>
      <sz val="9"/>
      <name val="宋体"/>
      <family val="2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2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C0C0"/>
        <bgColor rgb="FFCCCCFF"/>
      </patternFill>
    </fill>
  </fills>
  <borders count="3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tted">
        <color indexed="8"/>
      </right>
      <top/>
      <bottom style="thin">
        <color indexed="8"/>
      </bottom>
      <diagonal/>
    </border>
    <border>
      <left style="dotted">
        <color indexed="8"/>
      </left>
      <right style="dotted">
        <color indexed="8"/>
      </right>
      <top/>
      <bottom style="thin">
        <color indexed="8"/>
      </bottom>
      <diagonal/>
    </border>
    <border>
      <left style="thin">
        <color indexed="8"/>
      </left>
      <right style="dotted">
        <color indexed="8"/>
      </right>
      <top style="thin">
        <color indexed="8"/>
      </top>
      <bottom style="thin">
        <color indexed="8"/>
      </bottom>
      <diagonal/>
    </border>
    <border>
      <left style="dotted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tted">
        <color indexed="8"/>
      </left>
      <right style="dotted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dotted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4" borderId="33" applyNumberFormat="0" applyFont="0" applyAlignment="0" applyProtection="0">
      <alignment vertical="center"/>
    </xf>
    <xf numFmtId="0" fontId="18" fillId="4" borderId="33" applyNumberFormat="0" applyFont="0" applyAlignment="0" applyProtection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43" fontId="20" fillId="0" borderId="0" applyBorder="0" applyAlignment="0" applyProtection="0"/>
    <xf numFmtId="0" fontId="22" fillId="0" borderId="0">
      <alignment vertical="center"/>
    </xf>
    <xf numFmtId="43" fontId="20" fillId="0" borderId="0" applyBorder="0" applyAlignment="0" applyProtection="0"/>
    <xf numFmtId="0" fontId="26" fillId="0" borderId="0">
      <alignment vertical="center"/>
    </xf>
  </cellStyleXfs>
  <cellXfs count="224">
    <xf numFmtId="0" fontId="0" fillId="0" borderId="0" xfId="0">
      <alignment vertical="center"/>
    </xf>
    <xf numFmtId="0" fontId="1" fillId="0" borderId="0" xfId="12" applyFont="1" applyAlignment="1"/>
    <xf numFmtId="0" fontId="2" fillId="0" borderId="1" xfId="12" applyFont="1" applyBorder="1" applyAlignment="1"/>
    <xf numFmtId="0" fontId="2" fillId="0" borderId="2" xfId="12" applyFont="1" applyBorder="1" applyAlignment="1"/>
    <xf numFmtId="0" fontId="2" fillId="0" borderId="3" xfId="12" applyFont="1" applyBorder="1" applyAlignment="1"/>
    <xf numFmtId="0" fontId="2" fillId="0" borderId="0" xfId="12" applyFont="1" applyBorder="1" applyAlignment="1"/>
    <xf numFmtId="0" fontId="2" fillId="0" borderId="3" xfId="12" applyFont="1" applyBorder="1" applyAlignment="1">
      <alignment horizontal="left"/>
    </xf>
    <xf numFmtId="0" fontId="2" fillId="0" borderId="4" xfId="12" applyFont="1" applyBorder="1" applyAlignment="1"/>
    <xf numFmtId="0" fontId="2" fillId="0" borderId="5" xfId="12" applyFont="1" applyBorder="1" applyAlignment="1"/>
    <xf numFmtId="0" fontId="2" fillId="0" borderId="6" xfId="12" applyFont="1" applyBorder="1" applyAlignment="1"/>
    <xf numFmtId="0" fontId="2" fillId="0" borderId="7" xfId="12" applyFont="1" applyBorder="1" applyAlignment="1"/>
    <xf numFmtId="0" fontId="2" fillId="0" borderId="8" xfId="12" applyFont="1" applyBorder="1" applyAlignment="1"/>
    <xf numFmtId="0" fontId="3" fillId="0" borderId="0" xfId="8" applyFont="1" applyAlignment="1">
      <alignment vertical="center"/>
    </xf>
    <xf numFmtId="0" fontId="4" fillId="0" borderId="0" xfId="8" applyFont="1" applyAlignment="1">
      <alignment vertical="center"/>
    </xf>
    <xf numFmtId="0" fontId="4" fillId="0" borderId="10" xfId="8" applyFont="1" applyBorder="1" applyAlignment="1">
      <alignment vertical="center"/>
    </xf>
    <xf numFmtId="0" fontId="3" fillId="0" borderId="9" xfId="8" applyFont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3" fillId="0" borderId="12" xfId="7" applyFont="1" applyFill="1" applyBorder="1" applyAlignment="1">
      <alignment vertical="center"/>
    </xf>
    <xf numFmtId="0" fontId="3" fillId="0" borderId="13" xfId="7" applyFont="1" applyFill="1" applyBorder="1" applyAlignment="1">
      <alignment vertical="center"/>
    </xf>
    <xf numFmtId="0" fontId="3" fillId="0" borderId="14" xfId="7" applyFont="1" applyFill="1" applyBorder="1" applyAlignment="1">
      <alignment vertical="center"/>
    </xf>
    <xf numFmtId="0" fontId="3" fillId="0" borderId="12" xfId="8" applyFont="1" applyBorder="1" applyAlignment="1">
      <alignment vertical="center"/>
    </xf>
    <xf numFmtId="0" fontId="3" fillId="0" borderId="13" xfId="8" applyFont="1" applyBorder="1" applyAlignment="1">
      <alignment vertical="center"/>
    </xf>
    <xf numFmtId="0" fontId="2" fillId="0" borderId="13" xfId="8" applyFont="1" applyBorder="1" applyAlignment="1"/>
    <xf numFmtId="0" fontId="2" fillId="0" borderId="14" xfId="8" applyFont="1" applyBorder="1" applyAlignment="1"/>
    <xf numFmtId="0" fontId="3" fillId="0" borderId="15" xfId="8" applyFont="1" applyBorder="1" applyAlignment="1">
      <alignment vertical="center"/>
    </xf>
    <xf numFmtId="0" fontId="3" fillId="0" borderId="16" xfId="8" applyFont="1" applyBorder="1" applyAlignment="1">
      <alignment vertical="center"/>
    </xf>
    <xf numFmtId="0" fontId="3" fillId="0" borderId="0" xfId="8" applyFont="1" applyBorder="1" applyAlignment="1">
      <alignment vertical="center"/>
    </xf>
    <xf numFmtId="0" fontId="4" fillId="0" borderId="17" xfId="8" applyFont="1" applyBorder="1" applyAlignment="1">
      <alignment horizontal="center" vertical="center"/>
    </xf>
    <xf numFmtId="0" fontId="3" fillId="0" borderId="9" xfId="8" applyFont="1" applyBorder="1" applyAlignment="1">
      <alignment horizontal="center" vertical="center"/>
    </xf>
    <xf numFmtId="0" fontId="4" fillId="2" borderId="19" xfId="8" applyFont="1" applyFill="1" applyBorder="1" applyAlignment="1">
      <alignment vertical="center"/>
    </xf>
    <xf numFmtId="0" fontId="4" fillId="2" borderId="20" xfId="8" applyFont="1" applyFill="1" applyBorder="1" applyAlignment="1">
      <alignment vertical="center"/>
    </xf>
    <xf numFmtId="0" fontId="3" fillId="0" borderId="14" xfId="8" applyFont="1" applyBorder="1" applyAlignment="1">
      <alignment vertical="center"/>
    </xf>
    <xf numFmtId="0" fontId="3" fillId="0" borderId="21" xfId="7" applyFont="1" applyFill="1" applyBorder="1" applyAlignment="1">
      <alignment vertical="center"/>
    </xf>
    <xf numFmtId="0" fontId="3" fillId="0" borderId="22" xfId="7" applyFont="1" applyFill="1" applyBorder="1" applyAlignment="1">
      <alignment vertical="center"/>
    </xf>
    <xf numFmtId="0" fontId="3" fillId="0" borderId="21" xfId="7" applyFont="1" applyFill="1" applyBorder="1" applyAlignment="1">
      <alignment horizontal="center" vertical="center"/>
    </xf>
    <xf numFmtId="0" fontId="3" fillId="0" borderId="23" xfId="7" applyFont="1" applyFill="1" applyBorder="1" applyAlignment="1">
      <alignment horizontal="center" vertical="center"/>
    </xf>
    <xf numFmtId="0" fontId="7" fillId="0" borderId="23" xfId="7" applyFont="1" applyFill="1" applyBorder="1" applyAlignment="1">
      <alignment horizontal="center"/>
    </xf>
    <xf numFmtId="0" fontId="3" fillId="0" borderId="21" xfId="8" applyFont="1" applyBorder="1" applyAlignment="1">
      <alignment vertical="center"/>
    </xf>
    <xf numFmtId="0" fontId="3" fillId="0" borderId="0" xfId="8" applyFont="1" applyBorder="1" applyAlignment="1">
      <alignment horizontal="center" vertical="center"/>
    </xf>
    <xf numFmtId="0" fontId="4" fillId="2" borderId="25" xfId="8" applyFont="1" applyFill="1" applyBorder="1" applyAlignment="1">
      <alignment vertical="center"/>
    </xf>
    <xf numFmtId="0" fontId="3" fillId="0" borderId="22" xfId="7" applyFont="1" applyFill="1" applyBorder="1" applyAlignment="1">
      <alignment horizontal="center" vertical="center"/>
    </xf>
    <xf numFmtId="0" fontId="3" fillId="0" borderId="9" xfId="7" applyFont="1" applyFill="1" applyBorder="1" applyAlignment="1">
      <alignment horizontal="center" vertical="center"/>
    </xf>
    <xf numFmtId="178" fontId="6" fillId="0" borderId="9" xfId="8" applyNumberFormat="1" applyFont="1" applyBorder="1" applyAlignment="1">
      <alignment horizontal="center" vertical="center"/>
    </xf>
    <xf numFmtId="0" fontId="3" fillId="0" borderId="22" xfId="8" applyFont="1" applyBorder="1" applyAlignment="1">
      <alignment vertical="center"/>
    </xf>
    <xf numFmtId="0" fontId="3" fillId="0" borderId="21" xfId="8" applyFont="1" applyBorder="1" applyAlignment="1">
      <alignment horizontal="center" vertical="center"/>
    </xf>
    <xf numFmtId="0" fontId="3" fillId="0" borderId="23" xfId="8" applyFont="1" applyBorder="1" applyAlignment="1">
      <alignment horizontal="center" vertical="center"/>
    </xf>
    <xf numFmtId="0" fontId="7" fillId="0" borderId="23" xfId="8" applyFont="1" applyBorder="1" applyAlignment="1">
      <alignment horizontal="center"/>
    </xf>
    <xf numFmtId="0" fontId="7" fillId="0" borderId="20" xfId="8" applyFont="1" applyBorder="1" applyAlignment="1">
      <alignment horizontal="center"/>
    </xf>
    <xf numFmtId="0" fontId="3" fillId="0" borderId="22" xfId="8" applyFont="1" applyBorder="1" applyAlignment="1">
      <alignment horizontal="center" vertical="center"/>
    </xf>
    <xf numFmtId="0" fontId="8" fillId="0" borderId="0" xfId="7" applyFont="1" applyAlignment="1">
      <alignment horizontal="center" vertical="center"/>
    </xf>
    <xf numFmtId="0" fontId="2" fillId="0" borderId="0" xfId="7" applyFont="1" applyAlignment="1"/>
    <xf numFmtId="0" fontId="2" fillId="0" borderId="0" xfId="7" applyFont="1" applyAlignment="1">
      <alignment horizontal="center"/>
    </xf>
    <xf numFmtId="0" fontId="2" fillId="0" borderId="0" xfId="7" applyFont="1" applyAlignment="1">
      <alignment vertical="top"/>
    </xf>
    <xf numFmtId="0" fontId="2" fillId="0" borderId="0" xfId="7" applyFont="1" applyAlignment="1">
      <alignment horizontal="center" vertical="top"/>
    </xf>
    <xf numFmtId="0" fontId="2" fillId="0" borderId="0" xfId="7" applyFont="1" applyAlignment="1">
      <alignment horizontal="right" vertical="top"/>
    </xf>
    <xf numFmtId="179" fontId="2" fillId="0" borderId="0" xfId="7" applyNumberFormat="1" applyFont="1" applyAlignment="1">
      <alignment horizontal="right" vertical="top"/>
    </xf>
    <xf numFmtId="180" fontId="2" fillId="0" borderId="0" xfId="7" applyNumberFormat="1" applyFont="1" applyAlignment="1">
      <alignment horizontal="right" vertical="top"/>
    </xf>
    <xf numFmtId="0" fontId="8" fillId="0" borderId="0" xfId="7" applyFont="1" applyAlignment="1">
      <alignment vertical="top"/>
    </xf>
    <xf numFmtId="0" fontId="8" fillId="0" borderId="0" xfId="7" applyFont="1" applyAlignment="1">
      <alignment horizontal="center" vertical="top"/>
    </xf>
    <xf numFmtId="0" fontId="8" fillId="0" borderId="0" xfId="7" applyFont="1" applyAlignment="1">
      <alignment horizontal="right" vertical="top"/>
    </xf>
    <xf numFmtId="179" fontId="8" fillId="0" borderId="0" xfId="7" applyNumberFormat="1" applyFont="1" applyAlignment="1">
      <alignment horizontal="right" vertical="top"/>
    </xf>
    <xf numFmtId="0" fontId="8" fillId="3" borderId="9" xfId="7" applyFont="1" applyFill="1" applyBorder="1" applyAlignment="1">
      <alignment horizontal="center" vertical="center"/>
    </xf>
    <xf numFmtId="0" fontId="8" fillId="3" borderId="14" xfId="7" applyFont="1" applyFill="1" applyBorder="1" applyAlignment="1">
      <alignment horizontal="center" vertical="center"/>
    </xf>
    <xf numFmtId="179" fontId="8" fillId="3" borderId="9" xfId="7" applyNumberFormat="1" applyFont="1" applyFill="1" applyBorder="1" applyAlignment="1">
      <alignment horizontal="center" vertical="center"/>
    </xf>
    <xf numFmtId="0" fontId="2" fillId="0" borderId="0" xfId="7" applyFont="1" applyFill="1" applyAlignment="1">
      <alignment horizontal="center"/>
    </xf>
    <xf numFmtId="0" fontId="8" fillId="0" borderId="9" xfId="7" applyFont="1" applyFill="1" applyBorder="1" applyAlignment="1">
      <alignment vertical="center"/>
    </xf>
    <xf numFmtId="0" fontId="9" fillId="0" borderId="9" xfId="1" applyFill="1" applyBorder="1" applyAlignment="1" applyProtection="1"/>
    <xf numFmtId="0" fontId="2" fillId="0" borderId="9" xfId="7" applyFont="1" applyFill="1" applyBorder="1" applyAlignment="1" applyProtection="1">
      <alignment horizontal="center" vertical="center"/>
    </xf>
    <xf numFmtId="0" fontId="2" fillId="0" borderId="9" xfId="7" applyFont="1" applyFill="1" applyBorder="1" applyAlignment="1">
      <alignment horizontal="center" vertical="center"/>
    </xf>
    <xf numFmtId="0" fontId="2" fillId="0" borderId="9" xfId="7" applyFont="1" applyFill="1" applyBorder="1" applyAlignment="1">
      <alignment horizontal="right" vertical="center"/>
    </xf>
    <xf numFmtId="179" fontId="2" fillId="0" borderId="9" xfId="7" applyNumberFormat="1" applyFont="1" applyFill="1" applyBorder="1" applyAlignment="1">
      <alignment horizontal="right" vertical="center"/>
    </xf>
    <xf numFmtId="0" fontId="10" fillId="0" borderId="9" xfId="7" applyFont="1" applyFill="1" applyBorder="1" applyAlignment="1">
      <alignment horizontal="left" vertical="center" indent="1"/>
    </xf>
    <xf numFmtId="180" fontId="8" fillId="0" borderId="0" xfId="7" applyNumberFormat="1" applyFont="1" applyAlignment="1">
      <alignment horizontal="right" vertical="top"/>
    </xf>
    <xf numFmtId="180" fontId="8" fillId="3" borderId="9" xfId="7" applyNumberFormat="1" applyFont="1" applyFill="1" applyBorder="1" applyAlignment="1">
      <alignment horizontal="center" vertical="center"/>
    </xf>
    <xf numFmtId="180" fontId="2" fillId="0" borderId="9" xfId="7" applyNumberFormat="1" applyFont="1" applyFill="1" applyBorder="1" applyAlignment="1">
      <alignment horizontal="right" vertical="center"/>
    </xf>
    <xf numFmtId="0" fontId="2" fillId="0" borderId="9" xfId="7" applyFont="1" applyFill="1" applyBorder="1" applyAlignment="1">
      <alignment vertical="center" wrapText="1"/>
    </xf>
    <xf numFmtId="0" fontId="0" fillId="0" borderId="0" xfId="0" applyFont="1">
      <alignment vertical="center"/>
    </xf>
    <xf numFmtId="0" fontId="2" fillId="0" borderId="26" xfId="7" applyFont="1" applyBorder="1" applyAlignment="1"/>
    <xf numFmtId="0" fontId="2" fillId="0" borderId="17" xfId="7" applyFont="1" applyBorder="1" applyAlignment="1"/>
    <xf numFmtId="0" fontId="2" fillId="0" borderId="16" xfId="7" applyFont="1" applyBorder="1" applyAlignment="1"/>
    <xf numFmtId="0" fontId="11" fillId="0" borderId="0" xfId="7" applyFont="1" applyBorder="1" applyAlignment="1"/>
    <xf numFmtId="0" fontId="2" fillId="0" borderId="0" xfId="7" applyFont="1" applyBorder="1" applyAlignment="1"/>
    <xf numFmtId="0" fontId="2" fillId="0" borderId="27" xfId="7" applyFont="1" applyBorder="1" applyAlignment="1"/>
    <xf numFmtId="0" fontId="2" fillId="0" borderId="28" xfId="7" applyFont="1" applyBorder="1" applyAlignment="1"/>
    <xf numFmtId="0" fontId="12" fillId="0" borderId="0" xfId="7" applyFont="1" applyBorder="1" applyAlignment="1"/>
    <xf numFmtId="0" fontId="13" fillId="0" borderId="0" xfId="7" applyFont="1" applyBorder="1" applyAlignment="1"/>
    <xf numFmtId="0" fontId="13" fillId="0" borderId="28" xfId="7" applyFont="1" applyBorder="1" applyAlignment="1"/>
    <xf numFmtId="0" fontId="2" fillId="0" borderId="10" xfId="7" applyFont="1" applyBorder="1" applyAlignment="1"/>
    <xf numFmtId="0" fontId="2" fillId="0" borderId="15" xfId="7" applyFont="1" applyBorder="1" applyAlignment="1"/>
    <xf numFmtId="0" fontId="2" fillId="0" borderId="24" xfId="7" applyFont="1" applyBorder="1" applyAlignment="1"/>
    <xf numFmtId="0" fontId="2" fillId="0" borderId="0" xfId="7" applyFont="1" applyAlignment="1">
      <alignment vertical="top" wrapText="1"/>
    </xf>
    <xf numFmtId="0" fontId="2" fillId="0" borderId="0" xfId="7" applyFont="1" applyAlignment="1">
      <alignment horizontal="center" vertical="top" wrapText="1"/>
    </xf>
    <xf numFmtId="0" fontId="14" fillId="0" borderId="29" xfId="7" applyFont="1" applyBorder="1" applyAlignment="1">
      <alignment vertical="top"/>
    </xf>
    <xf numFmtId="0" fontId="2" fillId="0" borderId="29" xfId="7" applyFont="1" applyBorder="1" applyAlignment="1">
      <alignment horizontal="center" vertical="top"/>
    </xf>
    <xf numFmtId="0" fontId="2" fillId="0" borderId="29" xfId="7" applyFont="1" applyBorder="1" applyAlignment="1">
      <alignment vertical="top"/>
    </xf>
    <xf numFmtId="0" fontId="15" fillId="0" borderId="30" xfId="7" applyFont="1" applyBorder="1" applyAlignment="1">
      <alignment vertical="top"/>
    </xf>
    <xf numFmtId="0" fontId="2" fillId="0" borderId="31" xfId="7" applyFont="1" applyBorder="1" applyAlignment="1">
      <alignment horizontal="center" vertical="top"/>
    </xf>
    <xf numFmtId="0" fontId="2" fillId="0" borderId="31" xfId="7" applyFont="1" applyBorder="1" applyAlignment="1">
      <alignment vertical="top"/>
    </xf>
    <xf numFmtId="0" fontId="2" fillId="0" borderId="0" xfId="7" applyFont="1" applyBorder="1" applyAlignment="1">
      <alignment vertical="top"/>
    </xf>
    <xf numFmtId="0" fontId="2" fillId="0" borderId="14" xfId="7" applyFont="1" applyBorder="1" applyAlignment="1">
      <alignment vertical="top" wrapText="1"/>
    </xf>
    <xf numFmtId="0" fontId="2" fillId="0" borderId="9" xfId="7" applyFont="1" applyBorder="1" applyAlignment="1">
      <alignment horizontal="center" vertical="top" wrapText="1"/>
    </xf>
    <xf numFmtId="0" fontId="2" fillId="0" borderId="11" xfId="7" applyFont="1" applyBorder="1" applyAlignment="1">
      <alignment horizontal="center" vertical="top" wrapText="1"/>
    </xf>
    <xf numFmtId="49" fontId="2" fillId="0" borderId="9" xfId="7" applyNumberFormat="1" applyFont="1" applyBorder="1" applyAlignment="1">
      <alignment horizontal="center" vertical="center" wrapText="1"/>
    </xf>
    <xf numFmtId="14" fontId="2" fillId="0" borderId="9" xfId="7" applyNumberFormat="1" applyFont="1" applyBorder="1" applyAlignment="1">
      <alignment horizontal="center" vertical="center" wrapText="1"/>
    </xf>
    <xf numFmtId="0" fontId="2" fillId="0" borderId="9" xfId="7" applyFont="1" applyBorder="1" applyAlignment="1">
      <alignment horizontal="center" vertical="center" wrapText="1"/>
    </xf>
    <xf numFmtId="0" fontId="2" fillId="0" borderId="9" xfId="7" applyFont="1" applyBorder="1" applyAlignment="1">
      <alignment horizontal="left" vertical="center" wrapText="1"/>
    </xf>
    <xf numFmtId="0" fontId="2" fillId="0" borderId="14" xfId="7" applyFont="1" applyBorder="1" applyAlignment="1">
      <alignment horizontal="left" vertical="center" wrapText="1"/>
    </xf>
    <xf numFmtId="0" fontId="2" fillId="0" borderId="9" xfId="7" applyFont="1" applyBorder="1" applyAlignment="1">
      <alignment vertical="center" wrapText="1"/>
    </xf>
    <xf numFmtId="0" fontId="2" fillId="0" borderId="32" xfId="7" applyFont="1" applyBorder="1" applyAlignment="1">
      <alignment vertical="top" wrapText="1"/>
    </xf>
    <xf numFmtId="181" fontId="2" fillId="0" borderId="32" xfId="7" applyNumberFormat="1" applyFont="1" applyBorder="1" applyAlignment="1">
      <alignment horizontal="center" vertical="top" wrapText="1"/>
    </xf>
    <xf numFmtId="0" fontId="2" fillId="0" borderId="32" xfId="7" applyFont="1" applyBorder="1" applyAlignment="1">
      <alignment horizontal="center" vertical="top" wrapText="1"/>
    </xf>
    <xf numFmtId="0" fontId="2" fillId="0" borderId="32" xfId="7" applyFont="1" applyFill="1" applyBorder="1" applyAlignment="1">
      <alignment vertical="top" wrapText="1"/>
    </xf>
    <xf numFmtId="0" fontId="2" fillId="0" borderId="32" xfId="7" applyFont="1" applyBorder="1" applyAlignment="1">
      <alignment vertical="center" wrapText="1"/>
    </xf>
    <xf numFmtId="182" fontId="2" fillId="0" borderId="32" xfId="7" applyNumberFormat="1" applyFont="1" applyBorder="1" applyAlignment="1">
      <alignment horizontal="center" vertical="top" wrapText="1"/>
    </xf>
    <xf numFmtId="0" fontId="16" fillId="0" borderId="32" xfId="7" applyFont="1" applyBorder="1" applyAlignment="1">
      <alignment vertical="center" wrapText="1"/>
    </xf>
    <xf numFmtId="0" fontId="3" fillId="0" borderId="9" xfId="8" applyFont="1" applyBorder="1" applyAlignment="1">
      <alignment vertical="center"/>
    </xf>
    <xf numFmtId="0" fontId="3" fillId="0" borderId="9" xfId="8" applyFont="1" applyBorder="1" applyAlignment="1">
      <alignment horizontal="center" vertical="center"/>
    </xf>
    <xf numFmtId="0" fontId="3" fillId="0" borderId="9" xfId="8" applyFont="1" applyBorder="1" applyAlignment="1">
      <alignment vertical="center"/>
    </xf>
    <xf numFmtId="0" fontId="3" fillId="0" borderId="9" xfId="8" applyFont="1" applyBorder="1" applyAlignment="1">
      <alignment horizontal="center" vertical="center"/>
    </xf>
    <xf numFmtId="0" fontId="18" fillId="0" borderId="0" xfId="0" applyFont="1">
      <alignment vertical="center"/>
    </xf>
    <xf numFmtId="0" fontId="9" fillId="0" borderId="9" xfId="1" applyBorder="1" applyAlignment="1" applyProtection="1"/>
    <xf numFmtId="0" fontId="19" fillId="0" borderId="9" xfId="7" applyFont="1" applyFill="1" applyBorder="1" applyAlignment="1">
      <alignment horizontal="left" vertical="center" indent="1"/>
    </xf>
    <xf numFmtId="183" fontId="21" fillId="0" borderId="0" xfId="13" applyNumberFormat="1" applyFont="1"/>
    <xf numFmtId="183" fontId="2" fillId="0" borderId="0" xfId="13" applyNumberFormat="1" applyFont="1"/>
    <xf numFmtId="49" fontId="2" fillId="0" borderId="0" xfId="13" applyNumberFormat="1" applyFont="1"/>
    <xf numFmtId="49" fontId="2" fillId="0" borderId="0" xfId="13" applyNumberFormat="1" applyFont="1" applyAlignment="1">
      <alignment horizontal="center"/>
    </xf>
    <xf numFmtId="43" fontId="2" fillId="0" borderId="0" xfId="13" applyFont="1"/>
    <xf numFmtId="0" fontId="22" fillId="5" borderId="32" xfId="14" applyFill="1" applyBorder="1" applyAlignment="1">
      <alignment horizontal="center" vertical="center"/>
    </xf>
    <xf numFmtId="49" fontId="22" fillId="5" borderId="32" xfId="14" applyNumberFormat="1" applyFill="1" applyBorder="1" applyAlignment="1">
      <alignment horizontal="center" vertical="center"/>
    </xf>
    <xf numFmtId="0" fontId="2" fillId="5" borderId="32" xfId="14" applyFont="1" applyFill="1" applyBorder="1" applyAlignment="1">
      <alignment horizontal="center" vertical="center"/>
    </xf>
    <xf numFmtId="43" fontId="24" fillId="6" borderId="34" xfId="13" applyFont="1" applyFill="1" applyBorder="1" applyAlignment="1">
      <alignment horizontal="left"/>
    </xf>
    <xf numFmtId="183" fontId="24" fillId="6" borderId="34" xfId="13" applyNumberFormat="1" applyFont="1" applyFill="1" applyBorder="1" applyAlignment="1">
      <alignment horizontal="left"/>
    </xf>
    <xf numFmtId="49" fontId="24" fillId="6" borderId="34" xfId="13" applyNumberFormat="1" applyFont="1" applyFill="1" applyBorder="1" applyAlignment="1">
      <alignment horizontal="left"/>
    </xf>
    <xf numFmtId="49" fontId="24" fillId="6" borderId="35" xfId="13" applyNumberFormat="1" applyFont="1" applyFill="1" applyBorder="1" applyAlignment="1">
      <alignment horizontal="center"/>
    </xf>
    <xf numFmtId="43" fontId="25" fillId="0" borderId="32" xfId="13" applyFont="1" applyFill="1" applyBorder="1" applyAlignment="1">
      <alignment horizontal="left"/>
    </xf>
    <xf numFmtId="183" fontId="25" fillId="0" borderId="32" xfId="13" applyNumberFormat="1" applyFont="1" applyFill="1" applyBorder="1" applyAlignment="1"/>
    <xf numFmtId="49" fontId="25" fillId="0" borderId="36" xfId="13" applyNumberFormat="1" applyFont="1" applyFill="1" applyBorder="1" applyAlignment="1"/>
    <xf numFmtId="49" fontId="25" fillId="0" borderId="32" xfId="13" applyNumberFormat="1" applyFont="1" applyFill="1" applyBorder="1" applyAlignment="1"/>
    <xf numFmtId="49" fontId="25" fillId="0" borderId="32" xfId="13" applyNumberFormat="1" applyFont="1" applyFill="1" applyBorder="1" applyAlignment="1">
      <alignment horizontal="center"/>
    </xf>
    <xf numFmtId="49" fontId="24" fillId="6" borderId="34" xfId="13" applyNumberFormat="1" applyFont="1" applyFill="1" applyBorder="1" applyAlignment="1">
      <alignment horizontal="center"/>
    </xf>
    <xf numFmtId="183" fontId="25" fillId="0" borderId="32" xfId="13" applyNumberFormat="1" applyFont="1" applyBorder="1"/>
    <xf numFmtId="49" fontId="25" fillId="0" borderId="32" xfId="13" applyNumberFormat="1" applyFont="1" applyBorder="1"/>
    <xf numFmtId="43" fontId="25" fillId="0" borderId="32" xfId="13" applyFont="1" applyBorder="1" applyAlignment="1"/>
    <xf numFmtId="49" fontId="25" fillId="0" borderId="36" xfId="13" applyNumberFormat="1" applyFont="1" applyBorder="1" applyAlignment="1"/>
    <xf numFmtId="0" fontId="3" fillId="0" borderId="9" xfId="8" applyFont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3" fillId="0" borderId="12" xfId="7" applyFont="1" applyFill="1" applyBorder="1" applyAlignment="1">
      <alignment vertical="center"/>
    </xf>
    <xf numFmtId="0" fontId="3" fillId="0" borderId="13" xfId="7" applyFont="1" applyFill="1" applyBorder="1" applyAlignment="1">
      <alignment vertical="center"/>
    </xf>
    <xf numFmtId="0" fontId="3" fillId="0" borderId="14" xfId="7" applyFont="1" applyFill="1" applyBorder="1" applyAlignment="1">
      <alignment vertical="center"/>
    </xf>
    <xf numFmtId="0" fontId="3" fillId="0" borderId="12" xfId="8" applyFont="1" applyBorder="1" applyAlignment="1">
      <alignment vertical="center"/>
    </xf>
    <xf numFmtId="0" fontId="3" fillId="0" borderId="13" xfId="8" applyFont="1" applyBorder="1" applyAlignment="1">
      <alignment vertical="center"/>
    </xf>
    <xf numFmtId="0" fontId="3" fillId="0" borderId="14" xfId="8" applyFont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3" fillId="0" borderId="12" xfId="8" applyFont="1" applyBorder="1" applyAlignment="1">
      <alignment vertical="center"/>
    </xf>
    <xf numFmtId="0" fontId="9" fillId="0" borderId="9" xfId="1" applyFill="1" applyBorder="1" applyAlignment="1">
      <alignment horizontal="center" vertical="center"/>
    </xf>
    <xf numFmtId="0" fontId="9" fillId="0" borderId="9" xfId="1" applyFill="1" applyBorder="1" applyAlignment="1">
      <alignment horizontal="right" vertical="center"/>
    </xf>
    <xf numFmtId="179" fontId="9" fillId="0" borderId="9" xfId="1" applyNumberFormat="1" applyFill="1" applyBorder="1" applyAlignment="1">
      <alignment horizontal="right" vertical="center"/>
    </xf>
    <xf numFmtId="180" fontId="9" fillId="0" borderId="9" xfId="1" applyNumberFormat="1" applyFill="1" applyBorder="1" applyAlignment="1">
      <alignment horizontal="right" vertical="center"/>
    </xf>
    <xf numFmtId="0" fontId="9" fillId="0" borderId="9" xfId="1" applyFill="1" applyBorder="1" applyAlignment="1">
      <alignment vertical="center" wrapText="1"/>
    </xf>
    <xf numFmtId="0" fontId="9" fillId="0" borderId="0" xfId="1" applyAlignment="1"/>
    <xf numFmtId="179" fontId="25" fillId="0" borderId="32" xfId="13" applyNumberFormat="1" applyFont="1" applyFill="1" applyBorder="1" applyAlignment="1">
      <alignment horizontal="left"/>
    </xf>
    <xf numFmtId="43" fontId="25" fillId="0" borderId="37" xfId="13" applyFont="1" applyFill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32" xfId="7" applyFont="1" applyBorder="1" applyAlignment="1">
      <alignment vertical="top" wrapText="1"/>
    </xf>
    <xf numFmtId="0" fontId="2" fillId="0" borderId="32" xfId="7" applyFont="1" applyBorder="1" applyAlignment="1">
      <alignment horizontal="center" vertical="top" wrapText="1"/>
    </xf>
    <xf numFmtId="0" fontId="2" fillId="0" borderId="32" xfId="7" applyFont="1" applyFill="1" applyBorder="1" applyAlignment="1">
      <alignment vertical="top" wrapText="1"/>
    </xf>
    <xf numFmtId="0" fontId="2" fillId="0" borderId="13" xfId="8" applyFont="1" applyBorder="1" applyAlignment="1"/>
    <xf numFmtId="0" fontId="2" fillId="0" borderId="14" xfId="8" applyFont="1" applyBorder="1" applyAlignment="1"/>
    <xf numFmtId="0" fontId="3" fillId="0" borderId="22" xfId="7" applyFont="1" applyFill="1" applyBorder="1" applyAlignment="1">
      <alignment vertical="center"/>
    </xf>
    <xf numFmtId="0" fontId="3" fillId="0" borderId="21" xfId="7" applyFont="1" applyFill="1" applyBorder="1" applyAlignment="1">
      <alignment horizontal="center" vertical="center"/>
    </xf>
    <xf numFmtId="0" fontId="3" fillId="0" borderId="23" xfId="7" applyFont="1" applyFill="1" applyBorder="1" applyAlignment="1">
      <alignment horizontal="center" vertical="center"/>
    </xf>
    <xf numFmtId="0" fontId="7" fillId="0" borderId="23" xfId="7" applyFont="1" applyFill="1" applyBorder="1" applyAlignment="1">
      <alignment horizontal="center"/>
    </xf>
    <xf numFmtId="0" fontId="3" fillId="0" borderId="21" xfId="8" applyFont="1" applyBorder="1" applyAlignment="1">
      <alignment vertical="center"/>
    </xf>
    <xf numFmtId="0" fontId="3" fillId="0" borderId="22" xfId="7" applyFont="1" applyFill="1" applyBorder="1" applyAlignment="1">
      <alignment horizontal="center" vertical="center"/>
    </xf>
    <xf numFmtId="0" fontId="3" fillId="0" borderId="9" xfId="7" applyFont="1" applyFill="1" applyBorder="1" applyAlignment="1">
      <alignment horizontal="center" vertical="center"/>
    </xf>
    <xf numFmtId="0" fontId="3" fillId="0" borderId="9" xfId="8" applyFont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3" fillId="0" borderId="12" xfId="7" applyFont="1" applyFill="1" applyBorder="1" applyAlignment="1">
      <alignment vertical="center"/>
    </xf>
    <xf numFmtId="0" fontId="3" fillId="0" borderId="13" xfId="7" applyFont="1" applyFill="1" applyBorder="1" applyAlignment="1">
      <alignment vertical="center"/>
    </xf>
    <xf numFmtId="0" fontId="3" fillId="0" borderId="14" xfId="7" applyFont="1" applyFill="1" applyBorder="1" applyAlignment="1">
      <alignment vertical="center"/>
    </xf>
    <xf numFmtId="0" fontId="3" fillId="0" borderId="12" xfId="8" applyFont="1" applyBorder="1" applyAlignment="1">
      <alignment vertical="center"/>
    </xf>
    <xf numFmtId="0" fontId="3" fillId="0" borderId="13" xfId="8" applyFont="1" applyBorder="1" applyAlignment="1">
      <alignment vertical="center"/>
    </xf>
    <xf numFmtId="0" fontId="3" fillId="0" borderId="14" xfId="8" applyFont="1" applyBorder="1" applyAlignment="1">
      <alignment vertical="center"/>
    </xf>
    <xf numFmtId="0" fontId="3" fillId="0" borderId="9" xfId="8" applyFont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27" fillId="0" borderId="0" xfId="0" applyFont="1">
      <alignment vertical="center"/>
    </xf>
    <xf numFmtId="0" fontId="2" fillId="0" borderId="9" xfId="7" applyFont="1" applyBorder="1" applyAlignment="1">
      <alignment horizontal="center" vertical="top"/>
    </xf>
    <xf numFmtId="49" fontId="2" fillId="0" borderId="9" xfId="7" applyNumberFormat="1" applyFont="1" applyBorder="1" applyAlignment="1">
      <alignment horizontal="center" vertical="top"/>
    </xf>
    <xf numFmtId="0" fontId="2" fillId="0" borderId="9" xfId="7" applyFont="1" applyBorder="1" applyAlignment="1">
      <alignment vertical="top"/>
    </xf>
    <xf numFmtId="0" fontId="3" fillId="0" borderId="9" xfId="7" applyFont="1" applyBorder="1" applyAlignment="1">
      <alignment vertical="top"/>
    </xf>
    <xf numFmtId="0" fontId="2" fillId="0" borderId="9" xfId="7" applyFont="1" applyBorder="1" applyAlignment="1">
      <alignment horizontal="center" vertical="center"/>
    </xf>
    <xf numFmtId="49" fontId="2" fillId="0" borderId="9" xfId="7" applyNumberFormat="1" applyFont="1" applyBorder="1" applyAlignment="1">
      <alignment horizontal="center" vertical="center"/>
    </xf>
    <xf numFmtId="0" fontId="2" fillId="0" borderId="9" xfId="7" applyFont="1" applyBorder="1" applyAlignment="1">
      <alignment vertical="center"/>
    </xf>
    <xf numFmtId="0" fontId="2" fillId="0" borderId="9" xfId="7" applyFont="1" applyBorder="1" applyAlignment="1">
      <alignment horizontal="center"/>
    </xf>
    <xf numFmtId="0" fontId="7" fillId="0" borderId="9" xfId="7" applyFont="1" applyBorder="1" applyAlignment="1">
      <alignment horizontal="center"/>
    </xf>
    <xf numFmtId="0" fontId="2" fillId="0" borderId="9" xfId="7" applyFont="1" applyBorder="1" applyAlignment="1">
      <alignment horizontal="left" vertical="top" wrapText="1"/>
    </xf>
    <xf numFmtId="0" fontId="2" fillId="0" borderId="12" xfId="7" applyFont="1" applyBorder="1" applyAlignment="1">
      <alignment horizontal="left" vertical="top" wrapText="1"/>
    </xf>
    <xf numFmtId="20" fontId="3" fillId="0" borderId="9" xfId="7" applyNumberFormat="1" applyFont="1" applyFill="1" applyBorder="1" applyAlignment="1">
      <alignment vertical="center"/>
    </xf>
    <xf numFmtId="0" fontId="3" fillId="0" borderId="9" xfId="7" applyFont="1" applyFill="1" applyBorder="1" applyAlignment="1">
      <alignment vertical="center"/>
    </xf>
    <xf numFmtId="0" fontId="4" fillId="2" borderId="11" xfId="8" applyFont="1" applyFill="1" applyBorder="1" applyAlignment="1">
      <alignment horizontal="center" vertical="top" textRotation="255"/>
    </xf>
    <xf numFmtId="0" fontId="4" fillId="2" borderId="9" xfId="8" applyFont="1" applyFill="1" applyBorder="1" applyAlignment="1">
      <alignment horizontal="center" vertical="center"/>
    </xf>
    <xf numFmtId="0" fontId="4" fillId="2" borderId="12" xfId="8" applyFont="1" applyFill="1" applyBorder="1" applyAlignment="1">
      <alignment horizontal="center" vertical="center"/>
    </xf>
    <xf numFmtId="0" fontId="3" fillId="0" borderId="9" xfId="8" applyFont="1" applyBorder="1" applyAlignment="1">
      <alignment vertical="center"/>
    </xf>
    <xf numFmtId="0" fontId="6" fillId="0" borderId="9" xfId="8" applyFont="1" applyBorder="1" applyAlignment="1">
      <alignment vertical="center"/>
    </xf>
    <xf numFmtId="0" fontId="4" fillId="2" borderId="18" xfId="8" applyFont="1" applyFill="1" applyBorder="1" applyAlignment="1">
      <alignment horizontal="center" vertical="center"/>
    </xf>
    <xf numFmtId="0" fontId="4" fillId="2" borderId="24" xfId="8" applyFont="1" applyFill="1" applyBorder="1" applyAlignment="1">
      <alignment horizontal="center" vertical="center"/>
    </xf>
    <xf numFmtId="0" fontId="6" fillId="0" borderId="9" xfId="8" applyFont="1" applyBorder="1" applyAlignment="1">
      <alignment horizontal="center" vertical="center"/>
    </xf>
    <xf numFmtId="0" fontId="3" fillId="0" borderId="9" xfId="8" applyFont="1" applyBorder="1" applyAlignment="1">
      <alignment horizontal="center" vertical="center"/>
    </xf>
    <xf numFmtId="177" fontId="3" fillId="0" borderId="9" xfId="8" applyNumberFormat="1" applyFont="1" applyBorder="1" applyAlignment="1">
      <alignment horizontal="center" vertical="center"/>
    </xf>
    <xf numFmtId="0" fontId="4" fillId="2" borderId="11" xfId="8" applyFont="1" applyFill="1" applyBorder="1" applyAlignment="1">
      <alignment horizontal="center" vertical="center"/>
    </xf>
    <xf numFmtId="0" fontId="5" fillId="0" borderId="11" xfId="8" applyFont="1" applyBorder="1" applyAlignment="1">
      <alignment horizontal="center" vertical="center"/>
    </xf>
    <xf numFmtId="0" fontId="5" fillId="0" borderId="11" xfId="8" applyFont="1" applyBorder="1" applyAlignment="1">
      <alignment horizontal="center" vertical="center" wrapText="1"/>
    </xf>
    <xf numFmtId="176" fontId="4" fillId="0" borderId="9" xfId="8" applyNumberFormat="1" applyFont="1" applyBorder="1" applyAlignment="1">
      <alignment horizontal="center" vertical="center"/>
    </xf>
    <xf numFmtId="0" fontId="6" fillId="0" borderId="9" xfId="7" applyFont="1" applyBorder="1" applyAlignment="1">
      <alignment vertical="center"/>
    </xf>
    <xf numFmtId="0" fontId="3" fillId="0" borderId="9" xfId="7" applyFont="1" applyBorder="1" applyAlignment="1">
      <alignment vertical="center"/>
    </xf>
    <xf numFmtId="0" fontId="3" fillId="0" borderId="12" xfId="7" applyFont="1" applyFill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13" xfId="7" applyFont="1" applyFill="1" applyBorder="1" applyAlignment="1">
      <alignment vertical="center"/>
    </xf>
    <xf numFmtId="0" fontId="3" fillId="0" borderId="14" xfId="7" applyFont="1" applyFill="1" applyBorder="1" applyAlignment="1">
      <alignment vertical="center"/>
    </xf>
    <xf numFmtId="0" fontId="3" fillId="0" borderId="9" xfId="7" applyFont="1" applyFill="1" applyBorder="1" applyAlignment="1">
      <alignment vertical="center" wrapText="1"/>
    </xf>
    <xf numFmtId="0" fontId="2" fillId="0" borderId="3" xfId="12" applyFont="1" applyBorder="1" applyAlignment="1">
      <alignment horizontal="center"/>
    </xf>
    <xf numFmtId="0" fontId="2" fillId="0" borderId="0" xfId="12" applyFont="1" applyAlignment="1">
      <alignment horizontal="center"/>
    </xf>
    <xf numFmtId="0" fontId="2" fillId="0" borderId="7" xfId="12" applyFont="1" applyBorder="1" applyAlignment="1">
      <alignment horizontal="center"/>
    </xf>
  </cellXfs>
  <cellStyles count="17">
    <cellStyle name="Excel Built-in Excel Built-in 常规_TBLayout_NTA_TBLayout" xfId="7" xr:uid="{00000000-0005-0000-0000-000000000000}"/>
    <cellStyle name="Excel Built-in Excel Built-in 常规_TBLayout_NTA_TBLayout 2" xfId="8" xr:uid="{00000000-0005-0000-0000-000001000000}"/>
    <cellStyle name="Excel Built-in 標準_Ⅳ-2_テーブル／ファイルレイアウト" xfId="3" xr:uid="{00000000-0005-0000-0000-000002000000}"/>
    <cellStyle name="Excel Built-in 常规 2" xfId="2" xr:uid="{00000000-0005-0000-0000-000003000000}"/>
    <cellStyle name="Excel Built-in 常规_TBLayout 2" xfId="9" xr:uid="{00000000-0005-0000-0000-000004000000}"/>
    <cellStyle name="Normal 2" xfId="6" xr:uid="{00000000-0005-0000-0000-000005000000}"/>
    <cellStyle name="TableStyleLight1" xfId="13" xr:uid="{00000000-0005-0000-0000-000006000000}"/>
    <cellStyle name="TableStyleLight1 2" xfId="15" xr:uid="{00000000-0005-0000-0000-00003A000000}"/>
    <cellStyle name="標準_Ⅳ-2_テーブル／ファイルレイアウト" xfId="11" xr:uid="{00000000-0005-0000-0000-000007000000}"/>
    <cellStyle name="常规" xfId="0" builtinId="0"/>
    <cellStyle name="常规 2" xfId="10" xr:uid="{00000000-0005-0000-0000-000009000000}"/>
    <cellStyle name="常规 3" xfId="12" xr:uid="{00000000-0005-0000-0000-00000A000000}"/>
    <cellStyle name="常规 4" xfId="14" xr:uid="{00000000-0005-0000-0000-00000B000000}"/>
    <cellStyle name="常规 4 2" xfId="16" xr:uid="{00000000-0005-0000-0000-00003D000000}"/>
    <cellStyle name="超链接" xfId="1" builtinId="8"/>
    <cellStyle name="注释 2" xfId="4" xr:uid="{00000000-0005-0000-0000-00000D000000}"/>
    <cellStyle name="注释 2 2" xfId="5" xr:uid="{00000000-0005-0000-0000-00000E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7F7F7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558ED5"/>
      <rgbColor rgb="0033CCCC"/>
      <rgbColor rgb="0099CC00"/>
      <rgbColor rgb="00FFCC00"/>
      <rgbColor rgb="00E46C0A"/>
      <rgbColor rgb="00FF6600"/>
      <rgbColor rgb="00376092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15</xdr:row>
      <xdr:rowOff>36193</xdr:rowOff>
    </xdr:from>
    <xdr:to>
      <xdr:col>25</xdr:col>
      <xdr:colOff>922020</xdr:colOff>
      <xdr:row>70</xdr:row>
      <xdr:rowOff>91440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21920" y="2497453"/>
          <a:ext cx="7551420" cy="75990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顾客编号（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TCyyyyMMHH000001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积分明细编号（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TCPyyyyMMdd000001):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=</a:t>
          </a:r>
          <a:r>
            <a:rPr lang="en-US" altLang="zh-CN" sz="1100"/>
            <a:t>"TC"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character1="TCP"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character2="yyyyMM"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character2="yyyyMMdd"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6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药品编号（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EMyyyyMM0000000001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积分兑换编号（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TEyyyyMMdd000001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: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character1="EM"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character1="TE"</a:t>
          </a:r>
          <a:endParaRPr lang="zh-CN"/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character2="yyyyMM"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character2="yyyyMM"</a:t>
          </a:r>
          <a:endParaRPr lang="zh-CN"/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类别编号（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ltype+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层级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(01|02|03)+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排序（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01|001|001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积分兑换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详情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TEDyyyyMMddHH000001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character1="ltype"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character1="TED"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层级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(01|02|03)"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character2="yyyyMMdd"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，排序（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01|001|001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活动编号（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EAyyyyMM0001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操作记录编号（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TOP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yyyyMMddHHmm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00001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character1="E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character1="TOP"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character2="yyyyMM"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yyyyMMddHHmm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新闻编号（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ENyyyyMM0001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付款订单编号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TOPOyyMMddHHmm00001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character1="E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N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character1="TOPO"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character2="yyyyMM"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character2="yyMMddHHmm"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订单编号（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TOyyMMddHHmm00001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退款申请单号（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TORFyyMMddHHmm00001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TO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character1="TORF"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character2="yyMMdd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HHmm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"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character2="yyMMddHHmm"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				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订单详情编号（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TODyyMMddHHmm0000001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character1="TO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D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character2="yyMMddHHmm"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curnumber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凑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7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位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操作编号（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TOPyyyyMMddHHmm0000001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）：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character1="TOP"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character2="yyyyMMddHHmm"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curnumber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凑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位</a:t>
          </a:r>
          <a:endParaRPr lang="zh-CN" altLang="zh-CN">
            <a:effectLst/>
          </a:endParaRPr>
        </a:p>
        <a:p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zh-CN" sz="1100"/>
        </a:p>
        <a:p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L2:AW27"/>
  <sheetViews>
    <sheetView workbookViewId="0">
      <selection activeCell="Y10" sqref="Y10"/>
    </sheetView>
  </sheetViews>
  <sheetFormatPr defaultColWidth="2.625" defaultRowHeight="13.5"/>
  <cols>
    <col min="1" max="16384" width="2.625" style="50"/>
  </cols>
  <sheetData>
    <row r="2" spans="12:49">
      <c r="AL2" s="193" t="s">
        <v>13</v>
      </c>
      <c r="AM2" s="193"/>
      <c r="AN2" s="193"/>
      <c r="AO2" s="193"/>
      <c r="AP2" s="194"/>
      <c r="AQ2" s="194"/>
      <c r="AR2" s="194"/>
      <c r="AS2" s="194"/>
      <c r="AT2" s="194"/>
      <c r="AU2" s="194"/>
      <c r="AV2" s="194"/>
      <c r="AW2" s="194"/>
    </row>
    <row r="7" spans="12:49">
      <c r="L7" s="77"/>
      <c r="M7" s="78"/>
      <c r="N7" s="78"/>
      <c r="O7" s="78"/>
      <c r="P7" s="78"/>
      <c r="Q7" s="78"/>
      <c r="R7" s="78"/>
      <c r="S7" s="77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87"/>
    </row>
    <row r="8" spans="12:49" ht="18.75">
      <c r="L8" s="79"/>
      <c r="M8" s="80" t="s">
        <v>14</v>
      </c>
      <c r="N8" s="81"/>
      <c r="O8" s="81"/>
      <c r="P8" s="81"/>
      <c r="Q8" s="81"/>
      <c r="R8" s="81"/>
      <c r="S8" s="79"/>
      <c r="T8" s="84" t="s">
        <v>297</v>
      </c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8"/>
    </row>
    <row r="9" spans="12:49" ht="18.75">
      <c r="L9" s="82"/>
      <c r="M9" s="83"/>
      <c r="N9" s="83"/>
      <c r="O9" s="83"/>
      <c r="P9" s="83"/>
      <c r="Q9" s="83"/>
      <c r="R9" s="83"/>
      <c r="S9" s="79"/>
      <c r="T9" s="85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8"/>
    </row>
    <row r="10" spans="12:49">
      <c r="L10" s="77"/>
      <c r="M10" s="78"/>
      <c r="N10" s="78"/>
      <c r="O10" s="78"/>
      <c r="P10" s="78"/>
      <c r="Q10" s="78"/>
      <c r="R10" s="78"/>
      <c r="S10" s="77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87"/>
    </row>
    <row r="11" spans="12:49" ht="18.75">
      <c r="L11" s="79"/>
      <c r="M11" s="80" t="s">
        <v>15</v>
      </c>
      <c r="N11" s="81"/>
      <c r="O11" s="81"/>
      <c r="P11" s="81"/>
      <c r="Q11" s="81"/>
      <c r="R11" s="81"/>
      <c r="S11" s="79"/>
      <c r="T11" s="84" t="s">
        <v>16</v>
      </c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8"/>
    </row>
    <row r="12" spans="12:49" ht="18.75">
      <c r="L12" s="82"/>
      <c r="M12" s="83"/>
      <c r="N12" s="83"/>
      <c r="O12" s="83"/>
      <c r="P12" s="83"/>
      <c r="Q12" s="83"/>
      <c r="R12" s="83"/>
      <c r="S12" s="82"/>
      <c r="T12" s="86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9"/>
    </row>
    <row r="13" spans="12:49">
      <c r="L13" s="79"/>
      <c r="M13" s="81"/>
      <c r="N13" s="81"/>
      <c r="O13" s="81"/>
      <c r="P13" s="81"/>
      <c r="Q13" s="81"/>
      <c r="R13" s="81"/>
      <c r="S13" s="77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87"/>
    </row>
    <row r="14" spans="12:49" ht="18.75">
      <c r="L14" s="79"/>
      <c r="M14" s="80" t="s">
        <v>17</v>
      </c>
      <c r="N14" s="81"/>
      <c r="O14" s="81"/>
      <c r="P14" s="81"/>
      <c r="Q14" s="81"/>
      <c r="R14" s="81"/>
      <c r="S14" s="79"/>
      <c r="T14" s="84" t="s">
        <v>18</v>
      </c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8"/>
    </row>
    <row r="15" spans="12:49" ht="13.15" customHeight="1">
      <c r="L15" s="82"/>
      <c r="M15" s="83"/>
      <c r="N15" s="83"/>
      <c r="O15" s="83"/>
      <c r="P15" s="83"/>
      <c r="Q15" s="83"/>
      <c r="R15" s="83"/>
      <c r="S15" s="82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9"/>
    </row>
    <row r="17" spans="12:39" ht="13.15" customHeight="1"/>
    <row r="18" spans="12:39">
      <c r="L18" s="50" t="s">
        <v>19</v>
      </c>
    </row>
    <row r="19" spans="12:39" ht="8.25" customHeight="1"/>
    <row r="20" spans="12:39">
      <c r="L20" s="193" t="s">
        <v>20</v>
      </c>
      <c r="M20" s="193"/>
      <c r="N20" s="193" t="s">
        <v>21</v>
      </c>
      <c r="O20" s="193"/>
      <c r="P20" s="193"/>
      <c r="Q20" s="193"/>
      <c r="R20" s="193"/>
      <c r="S20" s="193" t="s">
        <v>22</v>
      </c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 t="s">
        <v>23</v>
      </c>
      <c r="AF20" s="193"/>
      <c r="AG20" s="193"/>
      <c r="AH20" s="193" t="s">
        <v>24</v>
      </c>
      <c r="AI20" s="193"/>
      <c r="AJ20" s="193"/>
      <c r="AK20" s="193" t="s">
        <v>25</v>
      </c>
      <c r="AL20" s="193"/>
      <c r="AM20" s="193"/>
    </row>
    <row r="21" spans="12:39" ht="33.75" customHeight="1">
      <c r="L21" s="191" t="s">
        <v>10</v>
      </c>
      <c r="M21" s="191"/>
      <c r="N21" s="191" t="s">
        <v>286</v>
      </c>
      <c r="O21" s="191"/>
      <c r="P21" s="191"/>
      <c r="Q21" s="191"/>
      <c r="R21" s="191"/>
      <c r="S21" s="192" t="s">
        <v>11</v>
      </c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0"/>
      <c r="AF21" s="190"/>
      <c r="AG21" s="190"/>
      <c r="AH21" s="190"/>
      <c r="AI21" s="190"/>
      <c r="AJ21" s="190"/>
      <c r="AK21" s="190"/>
      <c r="AL21" s="190"/>
      <c r="AM21" s="190"/>
    </row>
    <row r="22" spans="12:39" ht="33.75" customHeight="1">
      <c r="L22" s="191"/>
      <c r="M22" s="191"/>
      <c r="N22" s="191"/>
      <c r="O22" s="191"/>
      <c r="P22" s="191"/>
      <c r="Q22" s="191"/>
      <c r="R22" s="191"/>
      <c r="S22" s="192"/>
      <c r="T22" s="192"/>
      <c r="U22" s="192"/>
      <c r="V22" s="192"/>
      <c r="W22" s="192"/>
      <c r="X22" s="192"/>
      <c r="Y22" s="192"/>
      <c r="Z22" s="192"/>
      <c r="AA22" s="192"/>
      <c r="AB22" s="192"/>
      <c r="AC22" s="192"/>
      <c r="AD22" s="192"/>
      <c r="AE22" s="190"/>
      <c r="AF22" s="190"/>
      <c r="AG22" s="190"/>
      <c r="AH22" s="190"/>
      <c r="AI22" s="190"/>
      <c r="AJ22" s="190"/>
      <c r="AK22" s="190"/>
      <c r="AL22" s="190"/>
      <c r="AM22" s="190"/>
    </row>
    <row r="23" spans="12:39" ht="33.75" customHeight="1">
      <c r="L23" s="187"/>
      <c r="M23" s="187"/>
      <c r="N23" s="187"/>
      <c r="O23" s="187"/>
      <c r="P23" s="187"/>
      <c r="Q23" s="187"/>
      <c r="R23" s="187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6"/>
      <c r="AF23" s="186"/>
      <c r="AG23" s="186"/>
      <c r="AH23" s="186"/>
      <c r="AI23" s="186"/>
      <c r="AJ23" s="186"/>
      <c r="AK23" s="186"/>
      <c r="AL23" s="186"/>
      <c r="AM23" s="186"/>
    </row>
    <row r="24" spans="12:39" ht="33.75" customHeight="1">
      <c r="L24" s="187"/>
      <c r="M24" s="187"/>
      <c r="N24" s="187"/>
      <c r="O24" s="187"/>
      <c r="P24" s="187"/>
      <c r="Q24" s="187"/>
      <c r="R24" s="187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D24" s="188"/>
      <c r="AE24" s="186"/>
      <c r="AF24" s="186"/>
      <c r="AG24" s="186"/>
      <c r="AH24" s="186"/>
      <c r="AI24" s="186"/>
      <c r="AJ24" s="186"/>
      <c r="AK24" s="186"/>
      <c r="AL24" s="186"/>
      <c r="AM24" s="186"/>
    </row>
    <row r="27" spans="12:39" ht="18" customHeight="1"/>
  </sheetData>
  <mergeCells count="32">
    <mergeCell ref="AL2:AO2"/>
    <mergeCell ref="AP2:AW2"/>
    <mergeCell ref="L20:M20"/>
    <mergeCell ref="N20:R20"/>
    <mergeCell ref="S20:AD20"/>
    <mergeCell ref="AE20:AG20"/>
    <mergeCell ref="AH20:AJ20"/>
    <mergeCell ref="AK20:AM20"/>
    <mergeCell ref="AK21:AM21"/>
    <mergeCell ref="L22:M22"/>
    <mergeCell ref="N22:R22"/>
    <mergeCell ref="S22:AD22"/>
    <mergeCell ref="AE22:AG22"/>
    <mergeCell ref="AH22:AJ22"/>
    <mergeCell ref="AK22:AM22"/>
    <mergeCell ref="L21:M21"/>
    <mergeCell ref="N21:R21"/>
    <mergeCell ref="S21:AD21"/>
    <mergeCell ref="AE21:AG21"/>
    <mergeCell ref="AH21:AJ21"/>
    <mergeCell ref="AK23:AM23"/>
    <mergeCell ref="L24:M24"/>
    <mergeCell ref="N24:R24"/>
    <mergeCell ref="S24:AD24"/>
    <mergeCell ref="AE24:AG24"/>
    <mergeCell ref="AH24:AJ24"/>
    <mergeCell ref="AK24:AM24"/>
    <mergeCell ref="L23:M23"/>
    <mergeCell ref="N23:R23"/>
    <mergeCell ref="S23:AD23"/>
    <mergeCell ref="AE23:AG23"/>
    <mergeCell ref="AH23:AJ23"/>
  </mergeCells>
  <phoneticPr fontId="3" type="noConversion"/>
  <pageMargins left="0.78749999999999998" right="0.78749999999999998" top="0.98402777777777795" bottom="0.70763888888888904" header="0.51041666666666696" footer="0.51041666666666696"/>
  <pageSetup paperSize="9" firstPageNumber="0" orientation="portrait" useFirstPageNumber="1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C2:AA32"/>
  <sheetViews>
    <sheetView view="pageBreakPreview" zoomScaleSheetLayoutView="100" workbookViewId="0">
      <selection activeCell="AF17" sqref="AF17"/>
    </sheetView>
  </sheetViews>
  <sheetFormatPr defaultColWidth="3.375" defaultRowHeight="14.25"/>
  <sheetData>
    <row r="2" spans="3:27">
      <c r="R2" s="119" t="s">
        <v>182</v>
      </c>
    </row>
    <row r="3" spans="3:27">
      <c r="C3" s="76" t="s">
        <v>26</v>
      </c>
      <c r="S3" s="119" t="s">
        <v>181</v>
      </c>
      <c r="T3" s="119" t="s">
        <v>212</v>
      </c>
    </row>
    <row r="4" spans="3:27">
      <c r="S4" s="119" t="s">
        <v>183</v>
      </c>
      <c r="T4" s="119" t="s">
        <v>213</v>
      </c>
    </row>
    <row r="5" spans="3:27">
      <c r="D5" s="76" t="s">
        <v>27</v>
      </c>
      <c r="S5" s="119" t="s">
        <v>214</v>
      </c>
      <c r="T5" s="119" t="s">
        <v>215</v>
      </c>
    </row>
    <row r="7" spans="3:27">
      <c r="E7" s="76" t="s">
        <v>28</v>
      </c>
      <c r="I7" s="76" t="s">
        <v>29</v>
      </c>
      <c r="R7" s="119" t="s">
        <v>184</v>
      </c>
    </row>
    <row r="8" spans="3:27">
      <c r="E8" s="76" t="s">
        <v>30</v>
      </c>
      <c r="I8" s="119" t="s">
        <v>173</v>
      </c>
      <c r="S8" s="119" t="s">
        <v>216</v>
      </c>
      <c r="Z8" s="119"/>
    </row>
    <row r="9" spans="3:27">
      <c r="E9" s="76"/>
      <c r="I9" s="76"/>
      <c r="S9" s="119"/>
      <c r="Z9" s="119"/>
      <c r="AA9" s="76"/>
    </row>
    <row r="10" spans="3:27">
      <c r="S10" s="119"/>
      <c r="Z10" s="119"/>
    </row>
    <row r="11" spans="3:27">
      <c r="D11" s="76" t="s">
        <v>31</v>
      </c>
      <c r="S11" s="119"/>
      <c r="Z11" s="119"/>
    </row>
    <row r="12" spans="3:27">
      <c r="D12" s="76"/>
      <c r="S12" s="119"/>
      <c r="Z12" s="119"/>
    </row>
    <row r="13" spans="3:27">
      <c r="E13" s="76" t="s">
        <v>32</v>
      </c>
      <c r="I13" s="119" t="s">
        <v>211</v>
      </c>
    </row>
    <row r="14" spans="3:27">
      <c r="E14" s="76" t="s">
        <v>33</v>
      </c>
      <c r="I14" s="119" t="s">
        <v>210</v>
      </c>
      <c r="U14" s="76"/>
    </row>
    <row r="15" spans="3:27">
      <c r="E15" s="76" t="s">
        <v>34</v>
      </c>
      <c r="I15" s="119" t="s">
        <v>174</v>
      </c>
      <c r="M15" s="119" t="s">
        <v>178</v>
      </c>
      <c r="U15" s="76"/>
    </row>
    <row r="16" spans="3:27">
      <c r="E16" s="76"/>
      <c r="I16" s="119" t="s">
        <v>179</v>
      </c>
      <c r="M16" s="119" t="s">
        <v>180</v>
      </c>
      <c r="U16" s="76"/>
    </row>
    <row r="17" spans="4:21">
      <c r="E17" s="76" t="s">
        <v>4</v>
      </c>
      <c r="I17" s="119" t="s">
        <v>175</v>
      </c>
      <c r="U17" s="76"/>
    </row>
    <row r="18" spans="4:21">
      <c r="E18" s="76" t="s">
        <v>35</v>
      </c>
      <c r="I18" s="119" t="s">
        <v>176</v>
      </c>
      <c r="U18" s="76"/>
    </row>
    <row r="19" spans="4:21">
      <c r="E19" s="76" t="s">
        <v>36</v>
      </c>
      <c r="I19" s="119" t="s">
        <v>177</v>
      </c>
      <c r="U19" s="76" t="s">
        <v>37</v>
      </c>
    </row>
    <row r="21" spans="4:21">
      <c r="D21" s="76" t="s">
        <v>38</v>
      </c>
    </row>
    <row r="23" spans="4:21">
      <c r="E23" s="76"/>
    </row>
    <row r="24" spans="4:21">
      <c r="E24" s="76"/>
      <c r="U24" s="76"/>
    </row>
    <row r="27" spans="4:21">
      <c r="D27" s="76" t="s">
        <v>39</v>
      </c>
    </row>
    <row r="29" spans="4:21">
      <c r="E29" s="76" t="s">
        <v>40</v>
      </c>
    </row>
    <row r="32" spans="4:21">
      <c r="D32" s="185" t="s">
        <v>299</v>
      </c>
    </row>
  </sheetData>
  <phoneticPr fontId="3" type="noConversion"/>
  <pageMargins left="0.69930555555555596" right="0.69930555555555596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G73"/>
  <sheetViews>
    <sheetView workbookViewId="0">
      <selection activeCell="D8" sqref="D8"/>
    </sheetView>
  </sheetViews>
  <sheetFormatPr defaultColWidth="2.625" defaultRowHeight="13.5"/>
  <cols>
    <col min="1" max="1" width="5.75" style="90" customWidth="1"/>
    <col min="2" max="2" width="13.875" style="91" customWidth="1"/>
    <col min="3" max="3" width="9.875" style="91" customWidth="1"/>
    <col min="4" max="4" width="10.5" style="90" customWidth="1"/>
    <col min="5" max="5" width="31.875" style="90" customWidth="1"/>
    <col min="6" max="6" width="69.125" style="90" customWidth="1"/>
    <col min="7" max="7" width="38.25" style="90" customWidth="1"/>
    <col min="8" max="16384" width="2.625" style="50"/>
  </cols>
  <sheetData>
    <row r="2" spans="1:7" ht="18.75">
      <c r="A2" s="92" t="s">
        <v>0</v>
      </c>
      <c r="B2" s="93"/>
      <c r="C2" s="93"/>
      <c r="D2" s="94"/>
      <c r="E2" s="94"/>
      <c r="F2" s="94"/>
      <c r="G2" s="94"/>
    </row>
    <row r="3" spans="1:7" ht="15.6" customHeight="1">
      <c r="A3" s="95"/>
      <c r="B3" s="96"/>
      <c r="C3" s="96"/>
      <c r="D3" s="97"/>
      <c r="E3" s="98"/>
      <c r="F3" s="98"/>
      <c r="G3" s="98"/>
    </row>
    <row r="4" spans="1:7" ht="33" customHeight="1">
      <c r="A4" s="195" t="s">
        <v>1</v>
      </c>
      <c r="B4" s="195"/>
      <c r="C4" s="195"/>
      <c r="D4" s="195"/>
      <c r="E4" s="196" t="s">
        <v>2</v>
      </c>
      <c r="F4" s="196"/>
      <c r="G4" s="99"/>
    </row>
    <row r="5" spans="1:7" ht="13.15" customHeight="1">
      <c r="A5" s="100" t="s">
        <v>3</v>
      </c>
      <c r="B5" s="101" t="s">
        <v>4</v>
      </c>
      <c r="C5" s="100" t="s">
        <v>5</v>
      </c>
      <c r="D5" s="100" t="s">
        <v>6</v>
      </c>
      <c r="E5" s="100" t="s">
        <v>7</v>
      </c>
      <c r="F5" s="100" t="s">
        <v>8</v>
      </c>
      <c r="G5" s="100" t="s">
        <v>9</v>
      </c>
    </row>
    <row r="6" spans="1:7">
      <c r="A6" s="102" t="s">
        <v>10</v>
      </c>
      <c r="B6" s="103" t="s">
        <v>217</v>
      </c>
      <c r="C6" s="104" t="s">
        <v>11</v>
      </c>
      <c r="D6" s="104" t="s">
        <v>146</v>
      </c>
      <c r="E6" s="105" t="s">
        <v>12</v>
      </c>
      <c r="F6" s="106"/>
      <c r="G6" s="107"/>
    </row>
    <row r="7" spans="1:7">
      <c r="A7" s="108"/>
      <c r="B7" s="103"/>
      <c r="C7" s="110"/>
      <c r="D7" s="110"/>
      <c r="E7" s="108" t="s">
        <v>284</v>
      </c>
      <c r="F7" s="165" t="s">
        <v>287</v>
      </c>
      <c r="G7" s="112"/>
    </row>
    <row r="8" spans="1:7">
      <c r="A8" s="108"/>
      <c r="B8" s="103"/>
      <c r="C8" s="110"/>
      <c r="D8" s="110"/>
      <c r="E8" s="163" t="s">
        <v>285</v>
      </c>
      <c r="F8" s="111" t="s">
        <v>288</v>
      </c>
      <c r="G8" s="112"/>
    </row>
    <row r="9" spans="1:7">
      <c r="A9" s="108"/>
      <c r="B9" s="103" t="s">
        <v>303</v>
      </c>
      <c r="C9" s="110" t="s">
        <v>304</v>
      </c>
      <c r="D9" s="110" t="s">
        <v>305</v>
      </c>
      <c r="E9" s="163" t="s">
        <v>306</v>
      </c>
      <c r="F9" s="165" t="s">
        <v>307</v>
      </c>
      <c r="G9" s="112"/>
    </row>
    <row r="10" spans="1:7">
      <c r="A10" s="108"/>
      <c r="B10" s="109"/>
      <c r="C10" s="110"/>
      <c r="D10" s="110"/>
      <c r="E10" s="163"/>
      <c r="F10" s="111"/>
      <c r="G10" s="112"/>
    </row>
    <row r="11" spans="1:7">
      <c r="A11" s="108"/>
      <c r="B11" s="109"/>
      <c r="C11" s="110"/>
      <c r="D11" s="110"/>
      <c r="E11" s="163"/>
      <c r="F11" s="111"/>
      <c r="G11" s="112"/>
    </row>
    <row r="12" spans="1:7">
      <c r="A12" s="108"/>
      <c r="B12" s="109"/>
      <c r="C12" s="110"/>
      <c r="D12" s="110"/>
      <c r="E12" s="163"/>
      <c r="F12" s="111"/>
      <c r="G12" s="112"/>
    </row>
    <row r="13" spans="1:7">
      <c r="A13" s="108"/>
      <c r="B13" s="109"/>
      <c r="C13" s="110"/>
      <c r="D13" s="110"/>
      <c r="E13" s="163"/>
      <c r="F13" s="111"/>
      <c r="G13" s="112"/>
    </row>
    <row r="14" spans="1:7">
      <c r="A14" s="108"/>
      <c r="B14" s="109"/>
      <c r="C14" s="110"/>
      <c r="D14" s="110"/>
      <c r="E14" s="163"/>
      <c r="F14" s="111"/>
      <c r="G14" s="112"/>
    </row>
    <row r="15" spans="1:7">
      <c r="A15" s="108"/>
      <c r="B15" s="109"/>
      <c r="C15" s="110"/>
      <c r="D15" s="110"/>
      <c r="E15" s="163"/>
      <c r="F15" s="111"/>
      <c r="G15" s="112"/>
    </row>
    <row r="16" spans="1:7">
      <c r="A16" s="108"/>
      <c r="B16" s="109"/>
      <c r="C16" s="110"/>
      <c r="D16" s="110"/>
      <c r="E16" s="108"/>
      <c r="F16" s="111"/>
      <c r="G16" s="112"/>
    </row>
    <row r="17" spans="1:7">
      <c r="A17" s="108"/>
      <c r="B17" s="109"/>
      <c r="C17" s="110"/>
      <c r="D17" s="110"/>
      <c r="E17" s="108"/>
      <c r="F17" s="111"/>
      <c r="G17" s="112"/>
    </row>
    <row r="18" spans="1:7">
      <c r="A18" s="108"/>
      <c r="B18" s="109"/>
      <c r="C18" s="110"/>
      <c r="D18" s="110"/>
      <c r="E18" s="108"/>
      <c r="F18" s="111"/>
      <c r="G18" s="112"/>
    </row>
    <row r="19" spans="1:7">
      <c r="A19" s="108"/>
      <c r="B19" s="109"/>
      <c r="C19" s="110"/>
      <c r="D19" s="110"/>
      <c r="E19" s="108"/>
      <c r="F19" s="111"/>
      <c r="G19" s="112"/>
    </row>
    <row r="20" spans="1:7">
      <c r="A20" s="108"/>
      <c r="B20" s="109"/>
      <c r="C20" s="110"/>
      <c r="D20" s="110"/>
      <c r="E20" s="108"/>
      <c r="F20" s="111"/>
      <c r="G20" s="112"/>
    </row>
    <row r="21" spans="1:7">
      <c r="A21" s="108"/>
      <c r="B21" s="109"/>
      <c r="C21" s="110"/>
      <c r="D21" s="110"/>
      <c r="E21" s="108"/>
      <c r="F21" s="111"/>
      <c r="G21" s="112"/>
    </row>
    <row r="22" spans="1:7">
      <c r="A22" s="108"/>
      <c r="B22" s="109"/>
      <c r="C22" s="110"/>
      <c r="D22" s="110"/>
      <c r="E22" s="108"/>
      <c r="F22" s="111"/>
      <c r="G22" s="112"/>
    </row>
    <row r="23" spans="1:7">
      <c r="A23" s="108"/>
      <c r="B23" s="109"/>
      <c r="C23" s="110"/>
      <c r="D23" s="110"/>
      <c r="E23" s="108"/>
      <c r="F23" s="111"/>
      <c r="G23" s="112"/>
    </row>
    <row r="24" spans="1:7">
      <c r="A24" s="108"/>
      <c r="B24" s="109"/>
      <c r="C24" s="110"/>
      <c r="D24" s="110"/>
      <c r="E24" s="108"/>
      <c r="F24" s="111"/>
      <c r="G24" s="112"/>
    </row>
    <row r="25" spans="1:7">
      <c r="A25" s="108"/>
      <c r="B25" s="109"/>
      <c r="C25" s="110"/>
      <c r="D25" s="110"/>
      <c r="E25" s="108"/>
      <c r="F25" s="111"/>
      <c r="G25" s="112"/>
    </row>
    <row r="26" spans="1:7">
      <c r="A26" s="108"/>
      <c r="B26" s="109"/>
      <c r="C26" s="110"/>
      <c r="D26" s="110"/>
      <c r="E26" s="108"/>
      <c r="F26" s="111"/>
      <c r="G26" s="112"/>
    </row>
    <row r="27" spans="1:7">
      <c r="A27" s="108"/>
      <c r="B27" s="109"/>
      <c r="C27" s="110"/>
      <c r="D27" s="110"/>
      <c r="E27" s="108"/>
      <c r="F27" s="111"/>
      <c r="G27" s="112"/>
    </row>
    <row r="28" spans="1:7">
      <c r="A28" s="108"/>
      <c r="B28" s="109"/>
      <c r="C28" s="110"/>
      <c r="D28" s="110"/>
      <c r="E28" s="108"/>
      <c r="F28" s="111"/>
      <c r="G28" s="112"/>
    </row>
    <row r="29" spans="1:7">
      <c r="A29" s="108"/>
      <c r="B29" s="113"/>
      <c r="C29" s="110"/>
      <c r="D29" s="110"/>
      <c r="E29" s="108"/>
      <c r="F29" s="111"/>
      <c r="G29" s="112"/>
    </row>
    <row r="30" spans="1:7" ht="13.5" customHeight="1">
      <c r="A30" s="108"/>
      <c r="B30" s="113"/>
      <c r="C30" s="110"/>
      <c r="D30" s="110"/>
      <c r="E30" s="108"/>
      <c r="F30" s="111"/>
      <c r="G30" s="114"/>
    </row>
    <row r="31" spans="1:7" ht="13.5" customHeight="1">
      <c r="A31" s="108"/>
      <c r="B31" s="113"/>
      <c r="C31" s="110"/>
      <c r="D31" s="110"/>
      <c r="E31" s="108"/>
      <c r="F31" s="111"/>
      <c r="G31" s="114"/>
    </row>
    <row r="32" spans="1:7" ht="13.5" customHeight="1">
      <c r="A32" s="108"/>
      <c r="B32" s="113"/>
      <c r="C32" s="110"/>
      <c r="D32" s="110"/>
      <c r="E32" s="108"/>
      <c r="F32" s="111"/>
      <c r="G32" s="114"/>
    </row>
    <row r="33" spans="1:7" ht="13.5" customHeight="1">
      <c r="A33" s="108"/>
      <c r="B33" s="113"/>
      <c r="C33" s="110"/>
      <c r="D33" s="110"/>
      <c r="E33" s="108"/>
      <c r="F33" s="111"/>
      <c r="G33" s="114"/>
    </row>
    <row r="34" spans="1:7" ht="13.5" customHeight="1">
      <c r="A34" s="108"/>
      <c r="B34" s="113"/>
      <c r="C34" s="110"/>
      <c r="D34" s="110"/>
      <c r="E34" s="108"/>
      <c r="F34" s="111"/>
      <c r="G34" s="114"/>
    </row>
    <row r="35" spans="1:7" ht="13.5" customHeight="1">
      <c r="A35" s="108"/>
      <c r="B35" s="113"/>
      <c r="C35" s="110"/>
      <c r="D35" s="110"/>
      <c r="E35" s="108"/>
      <c r="F35" s="111"/>
      <c r="G35" s="114"/>
    </row>
    <row r="36" spans="1:7" ht="13.5" customHeight="1">
      <c r="A36" s="108"/>
      <c r="B36" s="113"/>
      <c r="C36" s="110"/>
      <c r="D36" s="110"/>
      <c r="E36" s="108"/>
      <c r="F36" s="111"/>
      <c r="G36" s="114"/>
    </row>
    <row r="37" spans="1:7" ht="13.5" customHeight="1">
      <c r="A37" s="108"/>
      <c r="B37" s="113"/>
      <c r="C37" s="110"/>
      <c r="D37" s="110"/>
      <c r="E37" s="108"/>
      <c r="F37" s="111"/>
      <c r="G37" s="114"/>
    </row>
    <row r="38" spans="1:7" ht="13.5" customHeight="1">
      <c r="A38" s="108"/>
      <c r="B38" s="113"/>
      <c r="C38" s="110"/>
      <c r="D38" s="110"/>
      <c r="E38" s="108"/>
      <c r="F38" s="111"/>
      <c r="G38" s="114"/>
    </row>
    <row r="39" spans="1:7" ht="13.5" customHeight="1">
      <c r="A39" s="108"/>
      <c r="B39" s="113"/>
      <c r="C39" s="110"/>
      <c r="D39" s="110"/>
      <c r="E39" s="108"/>
      <c r="F39" s="111"/>
      <c r="G39" s="114"/>
    </row>
    <row r="40" spans="1:7" ht="13.5" customHeight="1">
      <c r="A40" s="108"/>
      <c r="B40" s="113"/>
      <c r="C40" s="110"/>
      <c r="D40" s="110"/>
      <c r="E40" s="108"/>
      <c r="F40" s="111"/>
      <c r="G40" s="114"/>
    </row>
    <row r="41" spans="1:7" ht="13.5" customHeight="1">
      <c r="A41" s="108"/>
      <c r="B41" s="113"/>
      <c r="C41" s="110"/>
      <c r="D41" s="110"/>
      <c r="E41" s="108"/>
      <c r="F41" s="111"/>
      <c r="G41" s="114"/>
    </row>
    <row r="42" spans="1:7" ht="13.5" customHeight="1">
      <c r="A42" s="108"/>
      <c r="B42" s="113"/>
      <c r="C42" s="110"/>
      <c r="D42" s="110"/>
      <c r="E42" s="108"/>
      <c r="F42" s="111"/>
      <c r="G42" s="114"/>
    </row>
    <row r="43" spans="1:7" ht="13.5" customHeight="1">
      <c r="A43" s="108"/>
      <c r="B43" s="113"/>
      <c r="C43" s="110"/>
      <c r="D43" s="110"/>
      <c r="E43" s="108"/>
      <c r="F43" s="111"/>
      <c r="G43" s="114"/>
    </row>
    <row r="44" spans="1:7" ht="13.5" customHeight="1">
      <c r="A44" s="108"/>
      <c r="B44" s="113"/>
      <c r="C44" s="110"/>
      <c r="D44" s="110"/>
      <c r="E44" s="108"/>
      <c r="F44" s="111"/>
      <c r="G44" s="114"/>
    </row>
    <row r="45" spans="1:7" ht="13.5" customHeight="1">
      <c r="A45" s="108"/>
      <c r="B45" s="113"/>
      <c r="C45" s="110"/>
      <c r="D45" s="110"/>
      <c r="E45" s="108"/>
      <c r="F45" s="111"/>
      <c r="G45" s="114"/>
    </row>
    <row r="46" spans="1:7" ht="13.5" customHeight="1">
      <c r="A46" s="108"/>
      <c r="B46" s="113"/>
      <c r="C46" s="110"/>
      <c r="D46" s="110"/>
      <c r="E46" s="108"/>
      <c r="F46" s="111"/>
      <c r="G46" s="114"/>
    </row>
    <row r="47" spans="1:7" ht="13.5" customHeight="1">
      <c r="A47" s="108"/>
      <c r="B47" s="113"/>
      <c r="C47" s="110"/>
      <c r="D47" s="110"/>
      <c r="E47" s="108"/>
      <c r="F47" s="111"/>
      <c r="G47" s="114"/>
    </row>
    <row r="48" spans="1:7" ht="13.5" customHeight="1">
      <c r="A48" s="108"/>
      <c r="B48" s="113"/>
      <c r="C48" s="110"/>
      <c r="D48" s="110"/>
      <c r="E48" s="108"/>
      <c r="F48" s="111"/>
      <c r="G48" s="114"/>
    </row>
    <row r="49" spans="1:7" ht="13.5" customHeight="1">
      <c r="A49" s="108"/>
      <c r="B49" s="113"/>
      <c r="C49" s="110"/>
      <c r="D49" s="110"/>
      <c r="E49" s="108"/>
      <c r="F49" s="111"/>
      <c r="G49" s="114"/>
    </row>
    <row r="50" spans="1:7">
      <c r="A50" s="108"/>
      <c r="B50" s="113"/>
      <c r="C50" s="110"/>
      <c r="D50" s="110"/>
      <c r="E50" s="108"/>
      <c r="F50" s="111"/>
      <c r="G50" s="114"/>
    </row>
    <row r="51" spans="1:7">
      <c r="A51" s="108"/>
      <c r="B51" s="113"/>
      <c r="C51" s="110"/>
      <c r="D51" s="110"/>
      <c r="E51" s="108"/>
      <c r="F51" s="111"/>
      <c r="G51" s="114"/>
    </row>
    <row r="52" spans="1:7">
      <c r="A52" s="108"/>
      <c r="B52" s="113"/>
      <c r="C52" s="110"/>
      <c r="D52" s="110"/>
      <c r="E52" s="108"/>
      <c r="F52" s="111"/>
      <c r="G52" s="114"/>
    </row>
    <row r="53" spans="1:7">
      <c r="A53" s="108"/>
      <c r="B53" s="113"/>
      <c r="C53" s="110"/>
      <c r="D53" s="110"/>
      <c r="E53" s="108"/>
      <c r="F53" s="111"/>
      <c r="G53" s="114"/>
    </row>
    <row r="54" spans="1:7">
      <c r="A54" s="108"/>
      <c r="B54" s="113"/>
      <c r="C54" s="110"/>
      <c r="D54" s="110"/>
      <c r="E54" s="108"/>
      <c r="F54" s="111"/>
      <c r="G54" s="114"/>
    </row>
    <row r="55" spans="1:7">
      <c r="A55" s="108"/>
      <c r="B55" s="113"/>
      <c r="C55" s="110"/>
      <c r="D55" s="110"/>
      <c r="E55" s="108"/>
      <c r="F55" s="111"/>
      <c r="G55" s="114" t="s">
        <v>203</v>
      </c>
    </row>
    <row r="56" spans="1:7">
      <c r="A56" s="108"/>
      <c r="B56" s="113"/>
      <c r="C56" s="110"/>
      <c r="D56" s="110"/>
      <c r="E56" s="108"/>
      <c r="F56" s="111"/>
      <c r="G56" s="114"/>
    </row>
    <row r="57" spans="1:7">
      <c r="A57" s="108"/>
      <c r="B57" s="113"/>
      <c r="C57" s="110"/>
      <c r="D57" s="110"/>
      <c r="E57" s="108"/>
      <c r="F57" s="111"/>
      <c r="G57" s="114"/>
    </row>
    <row r="58" spans="1:7">
      <c r="A58" s="108"/>
      <c r="B58" s="113"/>
      <c r="C58" s="110"/>
      <c r="D58" s="110"/>
      <c r="E58" s="108"/>
      <c r="F58" s="111"/>
      <c r="G58" s="114"/>
    </row>
    <row r="59" spans="1:7">
      <c r="A59" s="108"/>
      <c r="B59" s="113"/>
      <c r="C59" s="110"/>
      <c r="D59" s="110"/>
      <c r="E59" s="108"/>
      <c r="F59" s="111"/>
      <c r="G59" s="114"/>
    </row>
    <row r="60" spans="1:7">
      <c r="A60" s="108"/>
      <c r="B60" s="113"/>
      <c r="C60" s="110"/>
      <c r="D60" s="110"/>
      <c r="E60" s="108"/>
      <c r="F60" s="111"/>
      <c r="G60" s="114"/>
    </row>
    <row r="61" spans="1:7">
      <c r="A61" s="108"/>
      <c r="B61" s="113"/>
      <c r="C61" s="110"/>
      <c r="D61" s="110"/>
      <c r="E61" s="108"/>
      <c r="F61" s="111"/>
      <c r="G61" s="114"/>
    </row>
    <row r="62" spans="1:7">
      <c r="A62" s="108"/>
      <c r="B62" s="113"/>
      <c r="C62" s="110"/>
      <c r="D62" s="110"/>
      <c r="E62" s="108"/>
      <c r="F62" s="111"/>
      <c r="G62" s="114"/>
    </row>
    <row r="63" spans="1:7">
      <c r="A63" s="108"/>
      <c r="B63" s="113"/>
      <c r="C63" s="110"/>
      <c r="D63" s="110"/>
      <c r="E63" s="108"/>
      <c r="F63" s="111"/>
      <c r="G63" s="114"/>
    </row>
    <row r="64" spans="1:7">
      <c r="A64" s="108"/>
      <c r="B64" s="113"/>
      <c r="C64" s="110"/>
      <c r="D64" s="110"/>
      <c r="E64" s="108"/>
      <c r="F64" s="111"/>
      <c r="G64" s="114"/>
    </row>
    <row r="65" spans="1:7">
      <c r="A65" s="108"/>
      <c r="B65" s="113"/>
      <c r="C65" s="110"/>
      <c r="D65" s="110"/>
      <c r="E65" s="108"/>
      <c r="F65" s="111"/>
      <c r="G65" s="114"/>
    </row>
    <row r="66" spans="1:7">
      <c r="A66" s="108"/>
      <c r="B66" s="113"/>
      <c r="C66" s="110"/>
      <c r="D66" s="110"/>
      <c r="E66" s="108"/>
      <c r="F66" s="111"/>
      <c r="G66" s="114"/>
    </row>
    <row r="67" spans="1:7">
      <c r="A67" s="108"/>
      <c r="B67" s="113"/>
      <c r="C67" s="110"/>
      <c r="D67" s="164"/>
      <c r="E67" s="163"/>
      <c r="F67" s="165"/>
      <c r="G67" s="114"/>
    </row>
    <row r="68" spans="1:7">
      <c r="A68" s="108"/>
      <c r="B68" s="113"/>
      <c r="C68" s="110"/>
      <c r="D68" s="110"/>
      <c r="E68" s="108"/>
      <c r="F68" s="111"/>
      <c r="G68" s="114"/>
    </row>
    <row r="69" spans="1:7">
      <c r="A69" s="108"/>
      <c r="B69" s="113"/>
      <c r="C69" s="110"/>
      <c r="D69" s="110"/>
      <c r="E69" s="108"/>
      <c r="F69" s="111"/>
      <c r="G69" s="114"/>
    </row>
    <row r="70" spans="1:7">
      <c r="A70" s="108"/>
      <c r="B70" s="113"/>
      <c r="C70" s="110"/>
      <c r="D70" s="110"/>
      <c r="E70" s="108"/>
      <c r="F70" s="111"/>
      <c r="G70" s="114"/>
    </row>
    <row r="71" spans="1:7">
      <c r="A71" s="108"/>
      <c r="B71" s="113"/>
      <c r="C71" s="110"/>
      <c r="D71" s="110"/>
      <c r="E71" s="108"/>
      <c r="F71" s="111"/>
      <c r="G71" s="114"/>
    </row>
    <row r="72" spans="1:7">
      <c r="A72" s="108"/>
      <c r="B72" s="113"/>
      <c r="C72" s="110"/>
      <c r="D72" s="110"/>
      <c r="E72" s="108"/>
      <c r="F72" s="111"/>
      <c r="G72" s="114"/>
    </row>
    <row r="73" spans="1:7">
      <c r="A73" s="108"/>
      <c r="B73" s="113"/>
      <c r="C73" s="110"/>
      <c r="D73" s="110"/>
      <c r="E73" s="108"/>
      <c r="F73" s="111"/>
      <c r="G73" s="114"/>
    </row>
  </sheetData>
  <mergeCells count="2">
    <mergeCell ref="A4:D4"/>
    <mergeCell ref="E4:F4"/>
  </mergeCells>
  <phoneticPr fontId="3" type="noConversion"/>
  <pageMargins left="0" right="0" top="0.54027777777777797" bottom="0.54027777777777797" header="0.51041666666666696" footer="0.34930555555555598"/>
  <pageSetup paperSize="9" firstPageNumber="0" orientation="portrait" useFirstPageNumber="1" horizontalDpi="300" verticalDpi="300" r:id="rId1"/>
  <headerFooter alignWithMargins="0"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29"/>
  <sheetViews>
    <sheetView view="pageBreakPreview" zoomScaleSheetLayoutView="100" workbookViewId="0">
      <selection activeCell="C7" sqref="C7"/>
    </sheetView>
  </sheetViews>
  <sheetFormatPr defaultColWidth="9.125" defaultRowHeight="15.75" customHeight="1"/>
  <cols>
    <col min="1" max="1" width="3.875" style="50" customWidth="1"/>
    <col min="2" max="2" width="4.5" style="50" customWidth="1"/>
    <col min="3" max="3" width="25" style="50" customWidth="1"/>
    <col min="4" max="4" width="6.875" style="51" customWidth="1"/>
    <col min="5" max="5" width="26.625" style="52" customWidth="1"/>
    <col min="6" max="6" width="9.75" style="53" customWidth="1"/>
    <col min="7" max="7" width="11.75" style="54" customWidth="1"/>
    <col min="8" max="8" width="17.25" style="55" customWidth="1"/>
    <col min="9" max="9" width="17.125" style="56" customWidth="1"/>
    <col min="10" max="10" width="43" style="50" customWidth="1"/>
    <col min="11" max="11" width="1.625" style="50" customWidth="1"/>
    <col min="12" max="16384" width="9.125" style="50"/>
  </cols>
  <sheetData>
    <row r="1" spans="1:10" ht="15.75" customHeight="1">
      <c r="B1" s="57" t="s">
        <v>41</v>
      </c>
      <c r="E1" s="57"/>
      <c r="F1" s="58"/>
      <c r="G1" s="59"/>
      <c r="H1" s="60"/>
      <c r="I1" s="72"/>
    </row>
    <row r="2" spans="1:10" s="49" customFormat="1" ht="15.75" customHeight="1">
      <c r="B2" s="61" t="s">
        <v>42</v>
      </c>
      <c r="C2" s="62" t="s">
        <v>43</v>
      </c>
      <c r="D2" s="62" t="s">
        <v>44</v>
      </c>
      <c r="E2" s="61" t="s">
        <v>45</v>
      </c>
      <c r="F2" s="61" t="s">
        <v>46</v>
      </c>
      <c r="G2" s="61" t="s">
        <v>47</v>
      </c>
      <c r="H2" s="63" t="s">
        <v>48</v>
      </c>
      <c r="I2" s="73" t="s">
        <v>49</v>
      </c>
      <c r="J2" s="61" t="s">
        <v>9</v>
      </c>
    </row>
    <row r="3" spans="1:10" s="49" customFormat="1" ht="15.75" customHeight="1">
      <c r="A3" s="64" t="s">
        <v>50</v>
      </c>
      <c r="B3" s="65">
        <f>ROW()-2</f>
        <v>1</v>
      </c>
      <c r="C3" s="120" t="s">
        <v>143</v>
      </c>
      <c r="D3" s="67" t="s">
        <v>145</v>
      </c>
      <c r="E3" s="121" t="s">
        <v>139</v>
      </c>
      <c r="F3" s="68"/>
      <c r="G3" s="69"/>
      <c r="H3" s="70"/>
      <c r="I3" s="74"/>
      <c r="J3" s="75"/>
    </row>
    <row r="4" spans="1:10" s="49" customFormat="1" ht="15.75" customHeight="1">
      <c r="A4" s="64" t="s">
        <v>50</v>
      </c>
      <c r="B4" s="65">
        <f>ROW()-2</f>
        <v>2</v>
      </c>
      <c r="C4" s="120" t="s">
        <v>197</v>
      </c>
      <c r="D4" s="67" t="s">
        <v>145</v>
      </c>
      <c r="E4" s="121" t="s">
        <v>187</v>
      </c>
      <c r="F4" s="68"/>
      <c r="G4" s="69"/>
      <c r="H4" s="70"/>
      <c r="I4" s="74"/>
      <c r="J4" s="75"/>
    </row>
    <row r="5" spans="1:10" ht="14.25">
      <c r="A5" s="64" t="s">
        <v>50</v>
      </c>
      <c r="B5" s="65">
        <f t="shared" ref="B5:B8" si="0">ROW()-2</f>
        <v>3</v>
      </c>
      <c r="C5" s="120" t="s">
        <v>289</v>
      </c>
      <c r="D5" s="67" t="s">
        <v>290</v>
      </c>
      <c r="E5" s="71" t="s">
        <v>218</v>
      </c>
      <c r="F5" s="68"/>
      <c r="G5" s="69"/>
      <c r="H5" s="70"/>
      <c r="I5" s="74"/>
      <c r="J5" s="75"/>
    </row>
    <row r="6" spans="1:10" ht="14.25">
      <c r="A6" s="64" t="s">
        <v>50</v>
      </c>
      <c r="B6" s="65">
        <f t="shared" si="0"/>
        <v>4</v>
      </c>
      <c r="C6" s="120" t="s">
        <v>291</v>
      </c>
      <c r="D6" s="67" t="s">
        <v>290</v>
      </c>
      <c r="E6" s="71" t="s">
        <v>239</v>
      </c>
      <c r="F6" s="68"/>
      <c r="G6" s="69"/>
      <c r="H6" s="70"/>
      <c r="I6" s="74"/>
      <c r="J6" s="75"/>
    </row>
    <row r="7" spans="1:10" ht="14.25">
      <c r="A7" s="64" t="s">
        <v>50</v>
      </c>
      <c r="B7" s="65">
        <f t="shared" si="0"/>
        <v>5</v>
      </c>
      <c r="C7" s="120" t="s">
        <v>292</v>
      </c>
      <c r="D7" s="67" t="s">
        <v>293</v>
      </c>
      <c r="E7" s="71" t="s">
        <v>248</v>
      </c>
      <c r="F7" s="68"/>
      <c r="G7" s="69"/>
      <c r="H7" s="70"/>
      <c r="I7" s="74"/>
      <c r="J7" s="75"/>
    </row>
    <row r="8" spans="1:10" ht="14.25">
      <c r="A8" s="64" t="s">
        <v>50</v>
      </c>
      <c r="B8" s="65">
        <f t="shared" si="0"/>
        <v>6</v>
      </c>
      <c r="C8" s="120" t="s">
        <v>295</v>
      </c>
      <c r="D8" s="67" t="s">
        <v>293</v>
      </c>
      <c r="E8" s="71" t="s">
        <v>296</v>
      </c>
      <c r="F8" s="68"/>
      <c r="G8" s="69"/>
      <c r="H8" s="70"/>
      <c r="I8" s="74"/>
      <c r="J8" s="75"/>
    </row>
    <row r="9" spans="1:10" ht="14.25">
      <c r="A9" s="64"/>
      <c r="B9" s="65"/>
      <c r="C9" s="120"/>
      <c r="D9" s="67"/>
      <c r="E9" s="71"/>
      <c r="F9" s="68"/>
      <c r="G9" s="69"/>
      <c r="H9" s="70"/>
      <c r="I9" s="74"/>
      <c r="J9" s="75"/>
    </row>
    <row r="10" spans="1:10" ht="14.25">
      <c r="A10" s="64"/>
      <c r="B10" s="65"/>
      <c r="C10" s="120"/>
      <c r="D10" s="67"/>
      <c r="E10" s="71"/>
      <c r="F10" s="68"/>
      <c r="G10" s="69"/>
      <c r="H10" s="70"/>
      <c r="I10" s="74"/>
      <c r="J10" s="75"/>
    </row>
    <row r="11" spans="1:10" ht="14.25">
      <c r="A11" s="64"/>
      <c r="B11" s="65"/>
      <c r="C11" s="120"/>
      <c r="D11" s="67"/>
      <c r="E11" s="71"/>
      <c r="F11" s="68"/>
      <c r="G11" s="69"/>
      <c r="H11" s="70"/>
      <c r="I11" s="74"/>
      <c r="J11" s="75"/>
    </row>
    <row r="12" spans="1:10" ht="14.25">
      <c r="A12" s="64"/>
      <c r="B12" s="65"/>
      <c r="C12" s="120"/>
      <c r="D12" s="67"/>
      <c r="E12" s="71"/>
      <c r="F12" s="68"/>
      <c r="G12" s="69"/>
      <c r="H12" s="70"/>
      <c r="I12" s="74"/>
      <c r="J12" s="75"/>
    </row>
    <row r="13" spans="1:10" ht="14.25">
      <c r="A13" s="64"/>
      <c r="B13" s="65"/>
      <c r="C13" s="120"/>
      <c r="D13" s="67"/>
      <c r="E13" s="71"/>
      <c r="F13" s="68"/>
      <c r="G13" s="69"/>
      <c r="H13" s="70"/>
      <c r="I13" s="74"/>
      <c r="J13" s="75"/>
    </row>
    <row r="14" spans="1:10" ht="14.25">
      <c r="A14" s="64"/>
      <c r="B14" s="65"/>
      <c r="C14" s="120"/>
      <c r="D14" s="67"/>
      <c r="E14" s="71"/>
      <c r="F14" s="68"/>
      <c r="G14" s="69"/>
      <c r="H14" s="70"/>
      <c r="I14" s="74"/>
      <c r="J14" s="75"/>
    </row>
    <row r="15" spans="1:10" ht="14.25">
      <c r="A15" s="64"/>
      <c r="B15" s="65"/>
      <c r="C15" s="66"/>
      <c r="D15" s="67"/>
      <c r="E15" s="71"/>
      <c r="F15" s="68"/>
      <c r="G15" s="69"/>
      <c r="H15" s="70"/>
      <c r="I15" s="74"/>
      <c r="J15" s="75"/>
    </row>
    <row r="16" spans="1:10" ht="14.25">
      <c r="A16" s="64"/>
      <c r="B16" s="65"/>
      <c r="C16" s="66"/>
      <c r="D16" s="67"/>
      <c r="E16" s="71"/>
      <c r="F16" s="68"/>
      <c r="G16" s="69"/>
      <c r="H16" s="70"/>
      <c r="I16" s="74"/>
      <c r="J16" s="75"/>
    </row>
    <row r="17" spans="1:10" ht="14.25">
      <c r="A17" s="64"/>
      <c r="B17" s="65"/>
      <c r="C17" s="66"/>
      <c r="D17" s="67"/>
      <c r="E17" s="71"/>
      <c r="F17" s="68"/>
      <c r="G17" s="69"/>
      <c r="H17" s="70"/>
      <c r="I17" s="74"/>
      <c r="J17" s="75"/>
    </row>
    <row r="18" spans="1:10" ht="14.25">
      <c r="A18" s="64"/>
      <c r="B18" s="65"/>
      <c r="C18" s="66"/>
      <c r="D18" s="67"/>
      <c r="E18" s="71"/>
      <c r="F18" s="68"/>
      <c r="G18" s="69"/>
      <c r="H18" s="70"/>
      <c r="I18" s="74"/>
      <c r="J18" s="75"/>
    </row>
    <row r="19" spans="1:10" ht="14.25">
      <c r="A19" s="64"/>
      <c r="B19" s="65"/>
      <c r="C19" s="66"/>
      <c r="D19" s="67"/>
      <c r="E19" s="71"/>
      <c r="F19" s="68"/>
      <c r="G19" s="69"/>
      <c r="H19" s="70"/>
      <c r="I19" s="74"/>
      <c r="J19" s="75"/>
    </row>
    <row r="20" spans="1:10" ht="14.25">
      <c r="A20" s="64"/>
      <c r="B20" s="65"/>
      <c r="C20" s="66"/>
      <c r="D20" s="67"/>
      <c r="E20" s="71"/>
      <c r="F20" s="68"/>
      <c r="G20" s="69"/>
      <c r="H20" s="70"/>
      <c r="I20" s="74"/>
      <c r="J20" s="75"/>
    </row>
    <row r="21" spans="1:10" ht="14.25">
      <c r="A21" s="64"/>
      <c r="B21" s="65"/>
      <c r="C21" s="66"/>
      <c r="D21" s="67"/>
      <c r="E21" s="71"/>
      <c r="F21" s="68"/>
      <c r="G21" s="69"/>
      <c r="H21" s="70"/>
      <c r="I21" s="74"/>
      <c r="J21" s="75"/>
    </row>
    <row r="22" spans="1:10" ht="14.25">
      <c r="A22" s="64"/>
      <c r="B22" s="65"/>
      <c r="C22" s="66"/>
      <c r="D22" s="67"/>
      <c r="E22" s="71"/>
      <c r="F22" s="68"/>
      <c r="G22" s="69"/>
      <c r="H22" s="70"/>
      <c r="I22" s="74"/>
      <c r="J22" s="75"/>
    </row>
    <row r="23" spans="1:10" ht="14.25">
      <c r="A23" s="64"/>
      <c r="B23" s="65"/>
      <c r="C23" s="66"/>
      <c r="D23" s="67"/>
      <c r="E23" s="71"/>
      <c r="F23" s="68"/>
      <c r="G23" s="69"/>
      <c r="H23" s="70"/>
      <c r="I23" s="74"/>
      <c r="J23" s="75"/>
    </row>
    <row r="24" spans="1:10" ht="14.25">
      <c r="A24" s="64"/>
      <c r="B24" s="65"/>
      <c r="C24" s="66"/>
      <c r="D24" s="67"/>
      <c r="E24" s="71"/>
      <c r="F24" s="68"/>
      <c r="G24" s="69"/>
      <c r="H24" s="70"/>
      <c r="I24" s="74"/>
      <c r="J24" s="75"/>
    </row>
    <row r="25" spans="1:10" s="159" customFormat="1" ht="14.25">
      <c r="A25" s="64"/>
      <c r="B25" s="65"/>
      <c r="C25" s="66"/>
      <c r="D25" s="67"/>
      <c r="E25" s="71"/>
      <c r="F25" s="154"/>
      <c r="G25" s="155"/>
      <c r="H25" s="156"/>
      <c r="I25" s="157"/>
      <c r="J25" s="158"/>
    </row>
    <row r="26" spans="1:10" ht="14.25">
      <c r="A26" s="64"/>
      <c r="B26" s="65"/>
      <c r="C26" s="66"/>
      <c r="D26" s="67"/>
      <c r="E26" s="71"/>
      <c r="F26" s="68"/>
      <c r="G26" s="69"/>
      <c r="H26" s="70"/>
      <c r="I26" s="74"/>
      <c r="J26" s="75"/>
    </row>
    <row r="27" spans="1:10" ht="14.25">
      <c r="A27" s="64"/>
      <c r="B27" s="65"/>
      <c r="C27" s="66"/>
      <c r="D27" s="67"/>
      <c r="E27" s="71"/>
      <c r="F27" s="68"/>
      <c r="G27" s="69"/>
      <c r="H27" s="70"/>
      <c r="I27" s="74"/>
      <c r="J27" s="75"/>
    </row>
    <row r="28" spans="1:10" ht="14.25">
      <c r="A28" s="64"/>
      <c r="B28" s="65"/>
      <c r="C28" s="66"/>
      <c r="D28" s="67"/>
      <c r="E28" s="71"/>
      <c r="F28" s="68"/>
      <c r="G28" s="69"/>
      <c r="H28" s="70"/>
      <c r="I28" s="74"/>
      <c r="J28" s="75"/>
    </row>
    <row r="29" spans="1:10" ht="15.75" customHeight="1">
      <c r="H29" s="55" t="s">
        <v>52</v>
      </c>
    </row>
  </sheetData>
  <autoFilter ref="A2:J31" xr:uid="{00000000-0009-0000-0000-000003000000}"/>
  <phoneticPr fontId="3" type="noConversion"/>
  <hyperlinks>
    <hyperlink ref="C3" location="s_code!A1" display="代号定义" xr:uid="{00000000-0004-0000-0300-000000000000}"/>
    <hyperlink ref="C4" location="s_serial!A1" display="编号定义" xr:uid="{00000000-0004-0000-0300-00000C000000}"/>
    <hyperlink ref="A25:XFD25" location="t_admin!A1" display="○" xr:uid="{00000000-0004-0000-0300-00000E000000}"/>
    <hyperlink ref="C5" location="s_user!A1" display="系统用户" xr:uid="{47D84C79-AFCA-488E-908D-0464E22FA4CD}"/>
    <hyperlink ref="C6" location="s_interface!A1" display="系统用户接口" xr:uid="{64A19AEF-FD9A-4605-B6EC-237069AF7B1B}"/>
    <hyperlink ref="C7" location="ebs_book!A1" display="电子书--书籍基本信息" xr:uid="{5B1EA4CB-E1D0-4BE9-994D-54FF0C97FD87}"/>
    <hyperlink ref="C8" location="ebs_book_content!A1" display="电子书--书籍章节信息详情" xr:uid="{1F1B9BCC-A793-48E4-A420-247F662F31AC}"/>
  </hyperlinks>
  <pageMargins left="0.75" right="0.75" top="1" bottom="1" header="0.51041666666666696" footer="0.51041666666666696"/>
  <pageSetup paperSize="9" scale="63" firstPageNumber="0" orientation="landscape" useFirstPageNumber="1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80"/>
  <sheetViews>
    <sheetView workbookViewId="0">
      <pane ySplit="3" topLeftCell="A4" activePane="bottomLeft" state="frozen"/>
      <selection pane="bottomLeft" activeCell="B12" sqref="B12"/>
    </sheetView>
  </sheetViews>
  <sheetFormatPr defaultRowHeight="14.25"/>
  <cols>
    <col min="1" max="1" width="10" customWidth="1"/>
    <col min="2" max="2" width="31.375" customWidth="1"/>
    <col min="3" max="3" width="30.875" customWidth="1"/>
    <col min="4" max="4" width="27.625" customWidth="1"/>
  </cols>
  <sheetData>
    <row r="1" spans="1:4">
      <c r="A1" s="119" t="s">
        <v>198</v>
      </c>
      <c r="B1" s="119"/>
    </row>
    <row r="3" spans="1:4">
      <c r="A3" s="127" t="s">
        <v>202</v>
      </c>
      <c r="B3" s="127" t="s">
        <v>199</v>
      </c>
      <c r="C3" s="127" t="s">
        <v>200</v>
      </c>
      <c r="D3" s="127" t="s">
        <v>201</v>
      </c>
    </row>
    <row r="4" spans="1:4">
      <c r="A4" s="160"/>
      <c r="B4" s="134"/>
      <c r="C4" s="135"/>
      <c r="D4" s="135"/>
    </row>
    <row r="5" spans="1:4">
      <c r="A5" s="160"/>
      <c r="B5" s="134"/>
      <c r="C5" s="135"/>
      <c r="D5" s="135"/>
    </row>
    <row r="6" spans="1:4">
      <c r="A6" s="160"/>
      <c r="B6" s="134"/>
      <c r="C6" s="135"/>
      <c r="D6" s="135"/>
    </row>
    <row r="7" spans="1:4">
      <c r="A7" s="160"/>
      <c r="B7" s="134"/>
      <c r="C7" s="135"/>
      <c r="D7" s="135"/>
    </row>
    <row r="8" spans="1:4">
      <c r="A8" s="160"/>
      <c r="B8" s="134"/>
      <c r="C8" s="135"/>
      <c r="D8" s="135"/>
    </row>
    <row r="9" spans="1:4">
      <c r="A9" s="160"/>
      <c r="B9" s="134"/>
      <c r="C9" s="135"/>
      <c r="D9" s="135"/>
    </row>
    <row r="10" spans="1:4">
      <c r="A10" s="160"/>
      <c r="B10" s="134"/>
      <c r="C10" s="135"/>
      <c r="D10" s="135"/>
    </row>
    <row r="11" spans="1:4">
      <c r="A11" s="160"/>
      <c r="B11" s="134"/>
      <c r="C11" s="135"/>
      <c r="D11" s="135"/>
    </row>
    <row r="12" spans="1:4">
      <c r="A12" s="160"/>
      <c r="B12" s="134"/>
      <c r="C12" s="135"/>
      <c r="D12" s="135"/>
    </row>
    <row r="13" spans="1:4">
      <c r="A13" s="160"/>
      <c r="B13" s="134"/>
      <c r="C13" s="135"/>
      <c r="D13" s="135"/>
    </row>
    <row r="14" spans="1:4">
      <c r="A14" s="160"/>
      <c r="B14" s="134"/>
      <c r="C14" s="135"/>
      <c r="D14" s="135"/>
    </row>
    <row r="15" spans="1:4">
      <c r="A15" s="160"/>
      <c r="B15" s="134"/>
      <c r="C15" s="135"/>
      <c r="D15" s="135"/>
    </row>
    <row r="16" spans="1:4">
      <c r="A16" s="160"/>
      <c r="B16" s="134"/>
      <c r="C16" s="135"/>
      <c r="D16" s="135"/>
    </row>
    <row r="17" spans="1:4">
      <c r="A17" s="160"/>
      <c r="B17" s="134"/>
      <c r="C17" s="135"/>
      <c r="D17" s="135"/>
    </row>
    <row r="18" spans="1:4">
      <c r="A18" s="160"/>
      <c r="B18" s="134"/>
      <c r="C18" s="135"/>
      <c r="D18" s="135"/>
    </row>
    <row r="19" spans="1:4">
      <c r="A19" s="160"/>
      <c r="B19" s="134"/>
      <c r="C19" s="135"/>
      <c r="D19" s="135"/>
    </row>
    <row r="20" spans="1:4">
      <c r="A20" s="160"/>
      <c r="B20" s="134"/>
      <c r="C20" s="135"/>
      <c r="D20" s="135"/>
    </row>
    <row r="21" spans="1:4">
      <c r="A21" s="160"/>
      <c r="B21" s="134"/>
      <c r="C21" s="135"/>
      <c r="D21" s="135"/>
    </row>
    <row r="22" spans="1:4">
      <c r="A22" s="160"/>
      <c r="B22" s="134"/>
      <c r="C22" s="135"/>
      <c r="D22" s="135"/>
    </row>
    <row r="23" spans="1:4">
      <c r="A23" s="160"/>
      <c r="B23" s="134"/>
      <c r="C23" s="135"/>
      <c r="D23" s="135"/>
    </row>
    <row r="24" spans="1:4">
      <c r="A24" s="160"/>
      <c r="B24" s="134"/>
      <c r="C24" s="135"/>
      <c r="D24" s="135"/>
    </row>
    <row r="25" spans="1:4">
      <c r="A25" s="160"/>
      <c r="B25" s="134"/>
      <c r="C25" s="135"/>
      <c r="D25" s="135"/>
    </row>
    <row r="26" spans="1:4">
      <c r="A26" s="160"/>
      <c r="B26" s="134"/>
      <c r="C26" s="135"/>
      <c r="D26" s="135"/>
    </row>
    <row r="27" spans="1:4">
      <c r="A27" s="160"/>
      <c r="B27" s="134"/>
      <c r="C27" s="135"/>
      <c r="D27" s="135"/>
    </row>
    <row r="28" spans="1:4">
      <c r="A28" s="160"/>
      <c r="B28" s="134"/>
      <c r="C28" s="135"/>
      <c r="D28" s="135"/>
    </row>
    <row r="29" spans="1:4">
      <c r="A29" s="160"/>
      <c r="B29" s="134"/>
      <c r="C29" s="135"/>
      <c r="D29" s="135"/>
    </row>
    <row r="30" spans="1:4">
      <c r="A30" s="160"/>
      <c r="B30" s="134"/>
      <c r="C30" s="135"/>
      <c r="D30" s="135"/>
    </row>
    <row r="31" spans="1:4">
      <c r="A31" s="160"/>
      <c r="B31" s="134"/>
      <c r="C31" s="135"/>
      <c r="D31" s="135"/>
    </row>
    <row r="32" spans="1:4">
      <c r="A32" s="160"/>
      <c r="B32" s="134"/>
      <c r="C32" s="135"/>
      <c r="D32" s="135"/>
    </row>
    <row r="33" spans="1:4">
      <c r="A33" s="160"/>
      <c r="B33" s="161"/>
    </row>
    <row r="34" spans="1:4">
      <c r="A34" s="160"/>
      <c r="B34" s="134"/>
      <c r="C34" s="135"/>
      <c r="D34" s="135"/>
    </row>
    <row r="35" spans="1:4">
      <c r="A35" s="160"/>
      <c r="B35" s="134"/>
      <c r="C35" s="135"/>
      <c r="D35" s="135"/>
    </row>
    <row r="36" spans="1:4">
      <c r="A36" s="160"/>
      <c r="B36" s="134"/>
      <c r="C36" s="135"/>
      <c r="D36" s="135"/>
    </row>
    <row r="37" spans="1:4">
      <c r="A37" s="160"/>
      <c r="B37" s="134"/>
      <c r="C37" s="135"/>
      <c r="D37" s="135"/>
    </row>
    <row r="38" spans="1:4">
      <c r="A38" s="160"/>
      <c r="B38" s="134"/>
      <c r="C38" s="135"/>
      <c r="D38" s="135"/>
    </row>
    <row r="39" spans="1:4">
      <c r="A39" s="160"/>
      <c r="B39" s="134"/>
      <c r="C39" s="135"/>
      <c r="D39" s="135"/>
    </row>
    <row r="40" spans="1:4">
      <c r="A40" s="160"/>
      <c r="B40" s="134"/>
      <c r="C40" s="135"/>
      <c r="D40" s="135"/>
    </row>
    <row r="41" spans="1:4">
      <c r="A41" s="160"/>
      <c r="B41" s="134"/>
      <c r="C41" s="135"/>
      <c r="D41" s="135"/>
    </row>
    <row r="42" spans="1:4">
      <c r="A42" s="160"/>
      <c r="B42" s="134"/>
      <c r="C42" s="135"/>
      <c r="D42" s="135"/>
    </row>
    <row r="43" spans="1:4">
      <c r="A43" s="160"/>
      <c r="B43" s="134"/>
      <c r="C43" s="135"/>
      <c r="D43" s="135"/>
    </row>
    <row r="44" spans="1:4">
      <c r="A44" s="160"/>
      <c r="B44" s="134"/>
      <c r="C44" s="135"/>
      <c r="D44" s="135"/>
    </row>
    <row r="45" spans="1:4">
      <c r="A45" s="160"/>
      <c r="B45" s="134"/>
      <c r="C45" s="135"/>
      <c r="D45" s="135"/>
    </row>
    <row r="46" spans="1:4">
      <c r="A46" s="160"/>
      <c r="B46" s="134"/>
      <c r="C46" s="135"/>
      <c r="D46" s="135"/>
    </row>
    <row r="47" spans="1:4">
      <c r="A47" s="160"/>
      <c r="B47" s="134"/>
      <c r="C47" s="135"/>
      <c r="D47" s="135"/>
    </row>
    <row r="48" spans="1:4">
      <c r="A48" s="160"/>
      <c r="B48" s="134"/>
      <c r="C48" s="135"/>
      <c r="D48" s="135"/>
    </row>
    <row r="49" spans="1:4">
      <c r="A49" s="160"/>
      <c r="B49" s="134"/>
      <c r="C49" s="135"/>
      <c r="D49" s="135"/>
    </row>
    <row r="50" spans="1:4">
      <c r="A50" s="160"/>
      <c r="B50" s="134"/>
      <c r="C50" s="135"/>
      <c r="D50" s="135"/>
    </row>
    <row r="51" spans="1:4">
      <c r="A51" s="160"/>
      <c r="B51" s="134"/>
      <c r="C51" s="135"/>
      <c r="D51" s="135"/>
    </row>
    <row r="52" spans="1:4">
      <c r="A52" s="160"/>
      <c r="B52" s="134"/>
      <c r="C52" s="135"/>
      <c r="D52" s="135"/>
    </row>
    <row r="53" spans="1:4">
      <c r="A53" s="160"/>
      <c r="B53" s="134"/>
      <c r="C53" s="135"/>
      <c r="D53" s="135"/>
    </row>
    <row r="54" spans="1:4">
      <c r="A54" s="160"/>
      <c r="B54" s="134"/>
      <c r="C54" s="135"/>
      <c r="D54" s="135"/>
    </row>
    <row r="55" spans="1:4">
      <c r="A55" s="160"/>
      <c r="B55" s="134"/>
      <c r="C55" s="135"/>
      <c r="D55" s="135"/>
    </row>
    <row r="56" spans="1:4">
      <c r="A56" s="160"/>
      <c r="B56" s="134"/>
      <c r="C56" s="135"/>
      <c r="D56" s="135"/>
    </row>
    <row r="57" spans="1:4">
      <c r="A57" s="160"/>
      <c r="B57" s="134"/>
      <c r="C57" s="135"/>
      <c r="D57" s="135"/>
    </row>
    <row r="58" spans="1:4">
      <c r="A58" s="160"/>
      <c r="B58" s="134"/>
      <c r="C58" s="135"/>
      <c r="D58" s="135"/>
    </row>
    <row r="59" spans="1:4">
      <c r="A59" s="160"/>
      <c r="B59" s="134"/>
      <c r="C59" s="135"/>
      <c r="D59" s="135"/>
    </row>
    <row r="60" spans="1:4">
      <c r="A60" s="160"/>
      <c r="B60" s="134"/>
      <c r="C60" s="135"/>
      <c r="D60" s="135"/>
    </row>
    <row r="61" spans="1:4">
      <c r="A61" s="160"/>
      <c r="B61" s="134"/>
      <c r="C61" s="135"/>
      <c r="D61" s="135"/>
    </row>
    <row r="62" spans="1:4">
      <c r="A62" s="160"/>
      <c r="B62" s="134"/>
      <c r="C62" s="135"/>
      <c r="D62" s="135"/>
    </row>
    <row r="63" spans="1:4">
      <c r="A63" s="160"/>
      <c r="B63" s="134"/>
      <c r="C63" s="135"/>
      <c r="D63" s="135"/>
    </row>
    <row r="64" spans="1:4">
      <c r="A64" s="160"/>
      <c r="B64" s="134"/>
      <c r="C64" s="135"/>
      <c r="D64" s="135"/>
    </row>
    <row r="65" spans="1:4">
      <c r="A65" s="160"/>
      <c r="B65" s="134"/>
      <c r="C65" s="135"/>
      <c r="D65" s="135"/>
    </row>
    <row r="66" spans="1:4">
      <c r="A66" s="160"/>
      <c r="B66" s="134"/>
      <c r="C66" s="135"/>
      <c r="D66" s="135"/>
    </row>
    <row r="67" spans="1:4">
      <c r="A67" s="134"/>
      <c r="B67" s="134"/>
      <c r="C67" s="135"/>
      <c r="D67" s="135"/>
    </row>
    <row r="68" spans="1:4">
      <c r="A68" s="134"/>
      <c r="B68" s="134"/>
      <c r="C68" s="135"/>
      <c r="D68" s="135"/>
    </row>
    <row r="69" spans="1:4">
      <c r="A69" s="134"/>
      <c r="B69" s="134"/>
      <c r="C69" s="135"/>
      <c r="D69" s="135"/>
    </row>
    <row r="70" spans="1:4">
      <c r="A70" s="134"/>
      <c r="B70" s="134"/>
      <c r="C70" s="135"/>
      <c r="D70" s="135"/>
    </row>
    <row r="71" spans="1:4">
      <c r="A71" s="134"/>
      <c r="B71" s="134"/>
      <c r="C71" s="135"/>
      <c r="D71" s="135"/>
    </row>
    <row r="72" spans="1:4">
      <c r="A72" s="134"/>
      <c r="B72" s="134"/>
      <c r="C72" s="135"/>
      <c r="D72" s="135"/>
    </row>
    <row r="73" spans="1:4">
      <c r="A73" s="134"/>
      <c r="B73" s="134"/>
      <c r="C73" s="135"/>
      <c r="D73" s="135"/>
    </row>
    <row r="74" spans="1:4">
      <c r="A74" s="134"/>
      <c r="B74" s="134"/>
      <c r="C74" s="135"/>
      <c r="D74" s="135"/>
    </row>
    <row r="75" spans="1:4">
      <c r="A75" s="134"/>
      <c r="B75" s="134"/>
      <c r="C75" s="135"/>
      <c r="D75" s="135"/>
    </row>
    <row r="76" spans="1:4">
      <c r="A76" s="134"/>
      <c r="B76" s="134"/>
      <c r="C76" s="135"/>
      <c r="D76" s="135"/>
    </row>
    <row r="77" spans="1:4">
      <c r="A77" s="134"/>
      <c r="B77" s="134"/>
      <c r="C77" s="135"/>
      <c r="D77" s="135"/>
    </row>
    <row r="78" spans="1:4">
      <c r="A78" s="134"/>
      <c r="B78" s="134"/>
      <c r="C78" s="135"/>
      <c r="D78" s="135"/>
    </row>
    <row r="79" spans="1:4">
      <c r="A79" s="134"/>
      <c r="B79" s="134"/>
      <c r="C79" s="135"/>
      <c r="D79" s="135"/>
    </row>
    <row r="80" spans="1:4">
      <c r="A80" s="134"/>
      <c r="B80" s="134"/>
      <c r="C80" s="135"/>
      <c r="D80" s="135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1F2C-E53A-4E03-8D7D-4511B7F5016D}">
  <dimension ref="A1:D38"/>
  <sheetViews>
    <sheetView workbookViewId="0">
      <pane ySplit="3" topLeftCell="A4" activePane="bottomLeft" state="frozen"/>
      <selection pane="bottomLeft" activeCell="C9" sqref="C9"/>
    </sheetView>
  </sheetViews>
  <sheetFormatPr defaultRowHeight="14.25"/>
  <cols>
    <col min="1" max="1" width="10" customWidth="1"/>
    <col min="2" max="2" width="31.375" customWidth="1"/>
    <col min="3" max="3" width="30.875" customWidth="1"/>
    <col min="4" max="4" width="27.625" customWidth="1"/>
  </cols>
  <sheetData>
    <row r="1" spans="1:4">
      <c r="A1" s="119" t="s">
        <v>204</v>
      </c>
      <c r="B1" s="119"/>
    </row>
    <row r="3" spans="1:4">
      <c r="A3" s="127" t="s">
        <v>202</v>
      </c>
      <c r="B3" s="127" t="s">
        <v>199</v>
      </c>
      <c r="C3" s="127" t="s">
        <v>170</v>
      </c>
      <c r="D3" s="127" t="s">
        <v>201</v>
      </c>
    </row>
    <row r="4" spans="1:4">
      <c r="A4" s="160">
        <v>1</v>
      </c>
      <c r="B4" s="134" t="s">
        <v>205</v>
      </c>
      <c r="C4" s="135" t="s">
        <v>208</v>
      </c>
      <c r="D4" s="135"/>
    </row>
    <row r="5" spans="1:4">
      <c r="A5" s="160">
        <v>2</v>
      </c>
      <c r="B5" s="134" t="s">
        <v>206</v>
      </c>
      <c r="C5" s="135" t="s">
        <v>207</v>
      </c>
      <c r="D5" s="135"/>
    </row>
    <row r="6" spans="1:4">
      <c r="A6" s="160"/>
      <c r="B6" s="134"/>
      <c r="C6" s="135"/>
      <c r="D6" s="135"/>
    </row>
    <row r="7" spans="1:4">
      <c r="A7" s="160"/>
      <c r="B7" s="134"/>
      <c r="C7" s="135"/>
      <c r="D7" s="135"/>
    </row>
    <row r="8" spans="1:4">
      <c r="A8" s="160"/>
      <c r="B8" s="134"/>
      <c r="C8" s="135"/>
      <c r="D8" s="135"/>
    </row>
    <row r="9" spans="1:4">
      <c r="A9" s="160"/>
      <c r="B9" s="134"/>
      <c r="C9" s="135"/>
      <c r="D9" s="135"/>
    </row>
    <row r="10" spans="1:4">
      <c r="A10" s="160"/>
      <c r="B10" s="134"/>
      <c r="C10" s="135"/>
      <c r="D10" s="135"/>
    </row>
    <row r="11" spans="1:4">
      <c r="A11" s="160"/>
      <c r="B11" s="134"/>
      <c r="C11" s="135"/>
      <c r="D11" s="135"/>
    </row>
    <row r="12" spans="1:4">
      <c r="A12" s="160"/>
      <c r="B12" s="134"/>
      <c r="C12" s="135"/>
      <c r="D12" s="135"/>
    </row>
    <row r="13" spans="1:4">
      <c r="A13" s="160"/>
      <c r="B13" s="134"/>
      <c r="C13" s="135"/>
      <c r="D13" s="135"/>
    </row>
    <row r="14" spans="1:4">
      <c r="A14" s="160"/>
      <c r="B14" s="134"/>
      <c r="C14" s="135"/>
      <c r="D14" s="135"/>
    </row>
    <row r="15" spans="1:4">
      <c r="A15" s="160"/>
      <c r="B15" s="134"/>
      <c r="C15" s="135"/>
      <c r="D15" s="135"/>
    </row>
    <row r="16" spans="1:4">
      <c r="A16" s="160"/>
      <c r="B16" s="134"/>
      <c r="C16" s="135"/>
      <c r="D16" s="135"/>
    </row>
    <row r="17" spans="1:4">
      <c r="A17" s="160"/>
      <c r="B17" s="134"/>
      <c r="C17" s="135"/>
      <c r="D17" s="135"/>
    </row>
    <row r="18" spans="1:4">
      <c r="A18" s="160"/>
      <c r="B18" s="134"/>
      <c r="C18" s="135"/>
      <c r="D18" s="135"/>
    </row>
    <row r="19" spans="1:4">
      <c r="A19" s="134"/>
      <c r="B19" s="134"/>
      <c r="C19" s="135"/>
      <c r="D19" s="135"/>
    </row>
    <row r="20" spans="1:4">
      <c r="A20" s="134"/>
      <c r="B20" s="134"/>
      <c r="C20" s="135"/>
      <c r="D20" s="135"/>
    </row>
    <row r="21" spans="1:4">
      <c r="A21" s="134"/>
      <c r="B21" s="134"/>
      <c r="C21" s="135"/>
      <c r="D21" s="135"/>
    </row>
    <row r="22" spans="1:4">
      <c r="A22" s="134"/>
      <c r="B22" s="134"/>
      <c r="C22" s="135"/>
      <c r="D22" s="135"/>
    </row>
    <row r="23" spans="1:4">
      <c r="A23" s="134"/>
      <c r="B23" s="134"/>
      <c r="C23" s="135"/>
      <c r="D23" s="135"/>
    </row>
    <row r="24" spans="1:4">
      <c r="A24" s="134"/>
      <c r="B24" s="134"/>
      <c r="C24" s="135"/>
      <c r="D24" s="135"/>
    </row>
    <row r="25" spans="1:4">
      <c r="A25" s="134"/>
      <c r="B25" s="134"/>
      <c r="C25" s="135"/>
      <c r="D25" s="135"/>
    </row>
    <row r="26" spans="1:4">
      <c r="A26" s="134"/>
      <c r="B26" s="134"/>
      <c r="C26" s="135"/>
      <c r="D26" s="135"/>
    </row>
    <row r="27" spans="1:4">
      <c r="A27" s="134"/>
      <c r="B27" s="134"/>
      <c r="C27" s="135"/>
      <c r="D27" s="135"/>
    </row>
    <row r="28" spans="1:4">
      <c r="A28" s="134"/>
      <c r="B28" s="134"/>
      <c r="C28" s="135"/>
      <c r="D28" s="135"/>
    </row>
    <row r="29" spans="1:4">
      <c r="A29" s="134"/>
      <c r="B29" s="134"/>
      <c r="C29" s="135"/>
      <c r="D29" s="135"/>
    </row>
    <row r="30" spans="1:4">
      <c r="A30" s="134"/>
      <c r="B30" s="134"/>
      <c r="C30" s="135"/>
      <c r="D30" s="135"/>
    </row>
    <row r="31" spans="1:4">
      <c r="A31" s="134"/>
      <c r="B31" s="134"/>
      <c r="C31" s="135"/>
      <c r="D31" s="135"/>
    </row>
    <row r="32" spans="1:4">
      <c r="A32" s="134"/>
      <c r="B32" s="134"/>
      <c r="C32" s="135"/>
      <c r="D32" s="135"/>
    </row>
    <row r="33" spans="1:4">
      <c r="A33" s="134"/>
      <c r="B33" s="134"/>
      <c r="C33" s="135"/>
      <c r="D33" s="135"/>
    </row>
    <row r="34" spans="1:4">
      <c r="A34" s="134"/>
      <c r="B34" s="134"/>
      <c r="C34" s="135"/>
      <c r="D34" s="135"/>
    </row>
    <row r="35" spans="1:4">
      <c r="A35" s="134"/>
      <c r="B35" s="134"/>
      <c r="C35" s="135"/>
      <c r="D35" s="135"/>
    </row>
    <row r="36" spans="1:4">
      <c r="A36" s="134"/>
      <c r="B36" s="134"/>
      <c r="C36" s="135"/>
      <c r="D36" s="135"/>
    </row>
    <row r="37" spans="1:4">
      <c r="A37" s="134"/>
      <c r="B37" s="134"/>
      <c r="C37" s="135"/>
      <c r="D37" s="135"/>
    </row>
    <row r="38" spans="1:4">
      <c r="A38" s="134"/>
      <c r="B38" s="134"/>
      <c r="C38" s="135"/>
      <c r="D38" s="135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3"/>
  <dimension ref="A1:Z76"/>
  <sheetViews>
    <sheetView view="pageBreakPreview" zoomScaleSheetLayoutView="100" workbookViewId="0"/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03" t="s">
        <v>140</v>
      </c>
      <c r="F6" s="203"/>
      <c r="G6" s="203"/>
      <c r="H6" s="203"/>
      <c r="I6" s="203"/>
      <c r="J6" s="203"/>
      <c r="K6" s="203"/>
      <c r="L6" s="20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02" t="s">
        <v>51</v>
      </c>
      <c r="F7" s="202"/>
      <c r="G7" s="202"/>
      <c r="H7" s="202"/>
      <c r="I7" s="202"/>
      <c r="J7" s="202"/>
      <c r="K7" s="202"/>
      <c r="L7" s="202"/>
      <c r="M7" s="200" t="s">
        <v>62</v>
      </c>
      <c r="N7" s="200"/>
      <c r="O7" s="200"/>
      <c r="P7" s="200"/>
      <c r="Q7" s="206">
        <f>SUM(K20:L226)+COUNTIF(J20:J226,"decimal")*17+COUNTIF(J20:J226,"text")*200-SUMIF(J20:J226,"decimal",K20:K226)-SUMIF(J20:J226,"decimal",L20:L226)-SUMIF(J20:J226,"text",K20:K226)-SUMIF(J20:J226,"text",L20:L226)</f>
        <v>0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6">
        <f t="shared" ref="B13:B19" si="0">ROW()-12</f>
        <v>1</v>
      </c>
      <c r="C13" s="17" t="s">
        <v>79</v>
      </c>
      <c r="D13" s="18"/>
      <c r="E13" s="19"/>
      <c r="F13" s="198" t="s">
        <v>132</v>
      </c>
      <c r="G13" s="198"/>
      <c r="H13" s="198"/>
      <c r="I13" s="198"/>
      <c r="J13" s="16" t="s">
        <v>80</v>
      </c>
      <c r="K13" s="32">
        <v>2</v>
      </c>
      <c r="L13" s="33"/>
      <c r="M13" s="34">
        <v>1</v>
      </c>
      <c r="N13" s="35">
        <v>1</v>
      </c>
      <c r="O13" s="36"/>
      <c r="P13" s="36"/>
      <c r="Q13" s="35"/>
      <c r="R13" s="35"/>
      <c r="S13" s="35"/>
      <c r="T13" s="35"/>
      <c r="U13" s="40"/>
      <c r="V13" s="41" t="s">
        <v>81</v>
      </c>
      <c r="W13" s="41"/>
      <c r="X13" s="198"/>
      <c r="Y13" s="198"/>
      <c r="Z13" s="198"/>
    </row>
    <row r="14" spans="1:26" ht="13.5" customHeight="1">
      <c r="B14" s="16">
        <f t="shared" si="0"/>
        <v>2</v>
      </c>
      <c r="C14" s="17" t="s">
        <v>82</v>
      </c>
      <c r="D14" s="18"/>
      <c r="E14" s="19"/>
      <c r="F14" s="198" t="s">
        <v>133</v>
      </c>
      <c r="G14" s="198"/>
      <c r="H14" s="198"/>
      <c r="I14" s="198"/>
      <c r="J14" s="16" t="s">
        <v>80</v>
      </c>
      <c r="K14" s="32">
        <v>2</v>
      </c>
      <c r="L14" s="33"/>
      <c r="M14" s="34">
        <v>2</v>
      </c>
      <c r="N14" s="35">
        <v>2</v>
      </c>
      <c r="O14" s="36"/>
      <c r="P14" s="36"/>
      <c r="Q14" s="35"/>
      <c r="R14" s="35"/>
      <c r="S14" s="35"/>
      <c r="T14" s="35"/>
      <c r="U14" s="40"/>
      <c r="V14" s="41" t="s">
        <v>81</v>
      </c>
      <c r="W14" s="41"/>
      <c r="X14" s="198"/>
      <c r="Y14" s="198"/>
      <c r="Z14" s="198"/>
    </row>
    <row r="15" spans="1:26" ht="13.5" customHeight="1">
      <c r="B15" s="16">
        <f t="shared" si="0"/>
        <v>3</v>
      </c>
      <c r="C15" s="17" t="s">
        <v>156</v>
      </c>
      <c r="D15" s="18"/>
      <c r="E15" s="19"/>
      <c r="F15" s="198" t="s">
        <v>130</v>
      </c>
      <c r="G15" s="198"/>
      <c r="H15" s="198"/>
      <c r="I15" s="198"/>
      <c r="J15" s="144" t="s">
        <v>144</v>
      </c>
      <c r="K15" s="32">
        <v>6</v>
      </c>
      <c r="L15" s="33"/>
      <c r="M15" s="34">
        <v>3</v>
      </c>
      <c r="N15" s="35"/>
      <c r="O15" s="36"/>
      <c r="P15" s="36"/>
      <c r="Q15" s="35"/>
      <c r="R15" s="35"/>
      <c r="S15" s="35"/>
      <c r="T15" s="35"/>
      <c r="U15" s="40"/>
      <c r="V15" s="41" t="s">
        <v>81</v>
      </c>
      <c r="W15" s="41"/>
      <c r="X15" s="198"/>
      <c r="Y15" s="198"/>
      <c r="Z15" s="198"/>
    </row>
    <row r="16" spans="1:26" ht="13.5" customHeight="1">
      <c r="B16" s="16">
        <f t="shared" si="0"/>
        <v>4</v>
      </c>
      <c r="C16" s="17" t="s">
        <v>157</v>
      </c>
      <c r="D16" s="18"/>
      <c r="E16" s="19"/>
      <c r="F16" s="198" t="s">
        <v>131</v>
      </c>
      <c r="G16" s="198"/>
      <c r="H16" s="198"/>
      <c r="I16" s="198"/>
      <c r="J16" s="15" t="s">
        <v>168</v>
      </c>
      <c r="K16" s="32">
        <v>20</v>
      </c>
      <c r="L16" s="33"/>
      <c r="M16" s="34"/>
      <c r="N16" s="35"/>
      <c r="O16" s="36"/>
      <c r="P16" s="36"/>
      <c r="Q16" s="35"/>
      <c r="R16" s="35"/>
      <c r="S16" s="35"/>
      <c r="T16" s="35"/>
      <c r="U16" s="40"/>
      <c r="V16" s="41" t="s">
        <v>81</v>
      </c>
      <c r="W16" s="41"/>
      <c r="X16" s="197"/>
      <c r="Y16" s="198"/>
      <c r="Z16" s="198"/>
    </row>
    <row r="17" spans="2:26" ht="13.5" customHeight="1">
      <c r="B17" s="16">
        <f t="shared" si="0"/>
        <v>5</v>
      </c>
      <c r="C17" s="17" t="s">
        <v>84</v>
      </c>
      <c r="D17" s="18"/>
      <c r="E17" s="19"/>
      <c r="F17" s="17" t="s">
        <v>169</v>
      </c>
      <c r="G17" s="18"/>
      <c r="H17" s="18"/>
      <c r="I17" s="19"/>
      <c r="J17" s="15" t="s">
        <v>168</v>
      </c>
      <c r="K17" s="32">
        <v>100</v>
      </c>
      <c r="L17" s="33"/>
      <c r="M17" s="34"/>
      <c r="N17" s="35"/>
      <c r="O17" s="36"/>
      <c r="P17" s="36"/>
      <c r="Q17" s="35"/>
      <c r="R17" s="35"/>
      <c r="S17" s="35"/>
      <c r="T17" s="35"/>
      <c r="U17" s="40"/>
      <c r="V17" s="41"/>
      <c r="W17" s="41"/>
      <c r="X17" s="197"/>
      <c r="Y17" s="198"/>
      <c r="Z17" s="198"/>
    </row>
    <row r="18" spans="2:26" ht="13.5" customHeight="1">
      <c r="B18" s="16">
        <f t="shared" si="0"/>
        <v>6</v>
      </c>
      <c r="C18" s="17" t="s">
        <v>85</v>
      </c>
      <c r="D18" s="18"/>
      <c r="E18" s="19"/>
      <c r="F18" s="17" t="s">
        <v>134</v>
      </c>
      <c r="G18" s="18"/>
      <c r="H18" s="18"/>
      <c r="I18" s="19"/>
      <c r="J18" s="15" t="s">
        <v>137</v>
      </c>
      <c r="K18" s="32">
        <v>1</v>
      </c>
      <c r="L18" s="33"/>
      <c r="M18" s="34"/>
      <c r="N18" s="35"/>
      <c r="O18" s="36"/>
      <c r="P18" s="36"/>
      <c r="Q18" s="35"/>
      <c r="R18" s="35"/>
      <c r="S18" s="35"/>
      <c r="T18" s="35"/>
      <c r="U18" s="40"/>
      <c r="V18" s="41" t="s">
        <v>81</v>
      </c>
      <c r="W18" s="41"/>
      <c r="X18" s="197"/>
      <c r="Y18" s="198"/>
      <c r="Z18" s="198"/>
    </row>
    <row r="19" spans="2:26" ht="13.5" customHeight="1">
      <c r="B19" s="16">
        <f t="shared" si="0"/>
        <v>7</v>
      </c>
      <c r="C19" s="20" t="s">
        <v>141</v>
      </c>
      <c r="D19" s="22"/>
      <c r="E19" s="23"/>
      <c r="F19" s="20" t="s">
        <v>142</v>
      </c>
      <c r="G19" s="21"/>
      <c r="H19" s="21"/>
      <c r="I19" s="31"/>
      <c r="J19" s="15" t="s">
        <v>158</v>
      </c>
      <c r="K19" s="37">
        <v>4</v>
      </c>
      <c r="L19" s="33"/>
      <c r="M19" s="34"/>
      <c r="N19" s="35"/>
      <c r="O19" s="36"/>
      <c r="P19" s="36"/>
      <c r="Q19" s="35"/>
      <c r="R19" s="35"/>
      <c r="S19" s="35"/>
      <c r="T19" s="35"/>
      <c r="U19" s="40"/>
      <c r="V19" s="41" t="s">
        <v>81</v>
      </c>
      <c r="W19" s="41"/>
      <c r="X19" s="198"/>
      <c r="Y19" s="198"/>
      <c r="Z19" s="198"/>
    </row>
    <row r="20" spans="2:26"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26"/>
      <c r="Y20" s="26"/>
      <c r="Z20" s="24"/>
    </row>
    <row r="21" spans="2:26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26"/>
      <c r="Y21" s="26"/>
      <c r="Z21" s="24"/>
    </row>
    <row r="22" spans="2:26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26"/>
      <c r="Y22" s="26"/>
      <c r="Z22" s="24"/>
    </row>
    <row r="23" spans="2:26"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26"/>
      <c r="Y23" s="26"/>
      <c r="Z23" s="24"/>
    </row>
    <row r="24" spans="2:26"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26"/>
      <c r="Y24" s="26"/>
      <c r="Z24" s="24"/>
    </row>
    <row r="25" spans="2:26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26"/>
      <c r="Y25" s="26"/>
      <c r="Z25" s="24"/>
    </row>
    <row r="26" spans="2:26"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26"/>
      <c r="Y26" s="26"/>
      <c r="Z26" s="24"/>
    </row>
    <row r="27" spans="2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2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2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2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2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2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  <row r="76" spans="2:26"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26"/>
      <c r="Y76" s="26"/>
      <c r="Z76" s="24"/>
    </row>
  </sheetData>
  <sheetProtection selectLockedCells="1" selectUnlockedCells="1"/>
  <mergeCells count="56">
    <mergeCell ref="B2:D2"/>
    <mergeCell ref="F2:H2"/>
    <mergeCell ref="K2:S2"/>
    <mergeCell ref="T2:W2"/>
    <mergeCell ref="X2:Z2"/>
    <mergeCell ref="K5:N5"/>
    <mergeCell ref="O5:S5"/>
    <mergeCell ref="T5:W5"/>
    <mergeCell ref="B6:D6"/>
    <mergeCell ref="E6:L6"/>
    <mergeCell ref="M6:P6"/>
    <mergeCell ref="Q6:Z6"/>
    <mergeCell ref="B3:E5"/>
    <mergeCell ref="F3:J5"/>
    <mergeCell ref="X3:Z5"/>
    <mergeCell ref="K3:N3"/>
    <mergeCell ref="O3:S3"/>
    <mergeCell ref="T3:W3"/>
    <mergeCell ref="K4:N4"/>
    <mergeCell ref="O4:S4"/>
    <mergeCell ref="T4:W4"/>
    <mergeCell ref="B7:D7"/>
    <mergeCell ref="E7:L7"/>
    <mergeCell ref="M7:P7"/>
    <mergeCell ref="Q7:U7"/>
    <mergeCell ref="V7:Y7"/>
    <mergeCell ref="B10:D10"/>
    <mergeCell ref="E10:L10"/>
    <mergeCell ref="Q10:Z10"/>
    <mergeCell ref="M11:U11"/>
    <mergeCell ref="F13:I13"/>
    <mergeCell ref="X13:Z13"/>
    <mergeCell ref="M8:P10"/>
    <mergeCell ref="B8:D8"/>
    <mergeCell ref="E8:L8"/>
    <mergeCell ref="Q8:Z8"/>
    <mergeCell ref="B9:D9"/>
    <mergeCell ref="E9:L9"/>
    <mergeCell ref="Q9:Z9"/>
    <mergeCell ref="B11:B12"/>
    <mergeCell ref="J11:J12"/>
    <mergeCell ref="V11:V12"/>
    <mergeCell ref="X17:Z17"/>
    <mergeCell ref="X18:Z18"/>
    <mergeCell ref="X19:Z19"/>
    <mergeCell ref="W11:W12"/>
    <mergeCell ref="C11:E12"/>
    <mergeCell ref="X11:Z12"/>
    <mergeCell ref="F11:I12"/>
    <mergeCell ref="K11:L12"/>
    <mergeCell ref="F14:I14"/>
    <mergeCell ref="X14:Z14"/>
    <mergeCell ref="F15:I15"/>
    <mergeCell ref="X15:Z15"/>
    <mergeCell ref="F16:I16"/>
    <mergeCell ref="X16:Z16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X87"/>
  <sheetViews>
    <sheetView workbookViewId="0">
      <selection activeCell="B5" sqref="B5"/>
    </sheetView>
  </sheetViews>
  <sheetFormatPr defaultRowHeight="14.25"/>
  <cols>
    <col min="1" max="1" width="19" customWidth="1"/>
    <col min="2" max="3" width="7.125" bestFit="1" customWidth="1"/>
    <col min="4" max="4" width="7.5" bestFit="1" customWidth="1"/>
    <col min="5" max="5" width="19.25" bestFit="1" customWidth="1"/>
    <col min="6" max="6" width="32.375" customWidth="1"/>
    <col min="9" max="9" width="13" customWidth="1"/>
  </cols>
  <sheetData>
    <row r="1" spans="1:9">
      <c r="A1" s="122" t="s">
        <v>147</v>
      </c>
      <c r="B1" s="123"/>
      <c r="C1" s="123"/>
      <c r="D1" s="124"/>
      <c r="E1" s="124"/>
      <c r="F1" s="124"/>
      <c r="G1" s="125"/>
      <c r="H1" s="125"/>
      <c r="I1" s="124"/>
    </row>
    <row r="2" spans="1:9">
      <c r="A2" s="126"/>
      <c r="B2" s="123"/>
      <c r="C2" s="123"/>
      <c r="D2" s="124"/>
      <c r="E2" s="124"/>
      <c r="F2" s="124"/>
      <c r="G2" s="125"/>
      <c r="H2" s="125"/>
      <c r="I2" s="124"/>
    </row>
    <row r="3" spans="1:9">
      <c r="A3" s="127" t="s">
        <v>148</v>
      </c>
      <c r="B3" s="127" t="s">
        <v>149</v>
      </c>
      <c r="C3" s="127" t="s">
        <v>150</v>
      </c>
      <c r="D3" s="127" t="s">
        <v>32</v>
      </c>
      <c r="E3" s="127" t="s">
        <v>151</v>
      </c>
      <c r="F3" s="127" t="s">
        <v>152</v>
      </c>
      <c r="G3" s="128" t="s">
        <v>153</v>
      </c>
      <c r="H3" s="128" t="s">
        <v>155</v>
      </c>
      <c r="I3" s="129" t="s">
        <v>172</v>
      </c>
    </row>
    <row r="4" spans="1:9">
      <c r="A4" s="130" t="s">
        <v>154</v>
      </c>
      <c r="B4" s="131"/>
      <c r="C4" s="131"/>
      <c r="D4" s="130"/>
      <c r="E4" s="132"/>
      <c r="F4" s="130"/>
      <c r="G4" s="133"/>
      <c r="H4" s="139"/>
      <c r="I4" s="130"/>
    </row>
    <row r="5" spans="1:9">
      <c r="A5" s="134" t="s">
        <v>308</v>
      </c>
      <c r="B5" s="135"/>
      <c r="C5" s="135"/>
      <c r="D5" s="136"/>
      <c r="E5" s="137"/>
      <c r="F5" s="137"/>
      <c r="G5" s="138"/>
      <c r="H5" s="138"/>
      <c r="I5" s="137"/>
    </row>
    <row r="6" spans="1:9">
      <c r="A6" s="134"/>
      <c r="B6" s="135"/>
      <c r="C6" s="135"/>
      <c r="D6" s="136"/>
      <c r="E6" s="137"/>
      <c r="F6" s="137"/>
      <c r="G6" s="138"/>
      <c r="H6" s="138"/>
      <c r="I6" s="137"/>
    </row>
    <row r="7" spans="1:9">
      <c r="A7" s="134"/>
      <c r="B7" s="135"/>
      <c r="C7" s="135"/>
      <c r="D7" s="136"/>
      <c r="E7" s="137"/>
      <c r="F7" s="137"/>
      <c r="G7" s="138"/>
      <c r="H7" s="138"/>
      <c r="I7" s="137"/>
    </row>
    <row r="8" spans="1:9">
      <c r="A8" s="134"/>
      <c r="B8" s="135"/>
      <c r="C8" s="135"/>
      <c r="D8" s="136"/>
      <c r="E8" s="137"/>
      <c r="F8" s="137"/>
      <c r="G8" s="138"/>
      <c r="H8" s="138"/>
      <c r="I8" s="137"/>
    </row>
    <row r="9" spans="1:9">
      <c r="A9" s="134"/>
      <c r="B9" s="135"/>
      <c r="C9" s="135"/>
      <c r="D9" s="136"/>
      <c r="E9" s="137"/>
      <c r="F9" s="137"/>
      <c r="G9" s="138"/>
      <c r="H9" s="138"/>
      <c r="I9" s="137"/>
    </row>
    <row r="10" spans="1:9">
      <c r="A10" s="134"/>
      <c r="B10" s="135"/>
      <c r="C10" s="135"/>
      <c r="D10" s="136"/>
      <c r="E10" s="137"/>
      <c r="F10" s="137"/>
      <c r="G10" s="138"/>
      <c r="H10" s="138"/>
      <c r="I10" s="137"/>
    </row>
    <row r="11" spans="1:9">
      <c r="A11" s="134"/>
      <c r="B11" s="135"/>
      <c r="C11" s="135"/>
      <c r="D11" s="136"/>
      <c r="E11" s="137"/>
      <c r="F11" s="137"/>
      <c r="G11" s="138"/>
      <c r="H11" s="138"/>
      <c r="I11" s="137"/>
    </row>
    <row r="12" spans="1:9">
      <c r="A12" s="134"/>
      <c r="B12" s="135"/>
      <c r="C12" s="135"/>
      <c r="D12" s="136"/>
      <c r="E12" s="137"/>
      <c r="F12" s="137"/>
      <c r="G12" s="138"/>
      <c r="H12" s="138"/>
      <c r="I12" s="137"/>
    </row>
    <row r="13" spans="1:9">
      <c r="A13" s="134"/>
      <c r="B13" s="135"/>
      <c r="C13" s="135"/>
      <c r="D13" s="136"/>
      <c r="E13" s="137"/>
      <c r="F13" s="137"/>
      <c r="G13" s="138"/>
      <c r="H13" s="138"/>
      <c r="I13" s="137"/>
    </row>
    <row r="14" spans="1:9">
      <c r="A14" s="134"/>
      <c r="B14" s="135"/>
      <c r="C14" s="135"/>
      <c r="D14" s="136"/>
      <c r="E14" s="137"/>
      <c r="F14" s="137"/>
      <c r="G14" s="138"/>
      <c r="H14" s="138"/>
      <c r="I14" s="137"/>
    </row>
    <row r="15" spans="1:9">
      <c r="A15" s="134"/>
      <c r="B15" s="135"/>
      <c r="C15" s="135"/>
      <c r="D15" s="136"/>
      <c r="E15" s="137"/>
      <c r="F15" s="137"/>
      <c r="G15" s="138"/>
      <c r="H15" s="138"/>
      <c r="I15" s="137"/>
    </row>
    <row r="16" spans="1:9">
      <c r="A16" s="134"/>
      <c r="B16" s="135"/>
      <c r="C16" s="135"/>
      <c r="D16" s="136"/>
      <c r="E16" s="137"/>
      <c r="F16" s="137"/>
      <c r="G16" s="138"/>
      <c r="H16" s="138"/>
      <c r="I16" s="137"/>
    </row>
    <row r="17" spans="1:24" ht="15" customHeight="1">
      <c r="A17" s="134"/>
      <c r="B17" s="135"/>
      <c r="C17" s="135"/>
      <c r="D17" s="136"/>
      <c r="E17" s="137"/>
      <c r="F17" s="137"/>
      <c r="G17" s="138"/>
      <c r="H17" s="138"/>
      <c r="I17" s="137"/>
      <c r="V17" t="s">
        <v>103</v>
      </c>
      <c r="X17" s="162" t="s">
        <v>209</v>
      </c>
    </row>
    <row r="18" spans="1:24">
      <c r="A18" s="134"/>
      <c r="B18" s="135"/>
      <c r="C18" s="135"/>
      <c r="D18" s="136"/>
      <c r="E18" s="137"/>
      <c r="F18" s="137"/>
      <c r="G18" s="138"/>
      <c r="H18" s="138"/>
      <c r="I18" s="137"/>
    </row>
    <row r="19" spans="1:24">
      <c r="A19" s="134"/>
      <c r="B19" s="135"/>
      <c r="C19" s="135"/>
      <c r="D19" s="136"/>
      <c r="E19" s="137"/>
      <c r="F19" s="137"/>
      <c r="G19" s="138"/>
      <c r="H19" s="138"/>
      <c r="I19" s="137"/>
    </row>
    <row r="20" spans="1:24">
      <c r="A20" s="134"/>
      <c r="B20" s="135"/>
      <c r="C20" s="135"/>
      <c r="D20" s="136"/>
      <c r="E20" s="137"/>
      <c r="F20" s="137"/>
      <c r="G20" s="138"/>
      <c r="H20" s="138"/>
      <c r="I20" s="137"/>
    </row>
    <row r="21" spans="1:24">
      <c r="A21" s="134"/>
      <c r="B21" s="135"/>
      <c r="C21" s="135"/>
      <c r="D21" s="136"/>
      <c r="E21" s="137"/>
      <c r="F21" s="137"/>
      <c r="G21" s="138"/>
      <c r="H21" s="138"/>
      <c r="I21" s="137"/>
    </row>
    <row r="22" spans="1:24">
      <c r="A22" s="134"/>
      <c r="B22" s="135"/>
      <c r="C22" s="135"/>
      <c r="D22" s="136"/>
      <c r="E22" s="137"/>
      <c r="F22" s="137"/>
      <c r="G22" s="138"/>
      <c r="H22" s="138"/>
      <c r="I22" s="137"/>
    </row>
    <row r="23" spans="1:24">
      <c r="A23" s="134"/>
      <c r="B23" s="135"/>
      <c r="C23" s="135"/>
      <c r="D23" s="136"/>
      <c r="E23" s="137"/>
      <c r="F23" s="137"/>
      <c r="G23" s="138"/>
      <c r="H23" s="138"/>
      <c r="I23" s="137"/>
    </row>
    <row r="24" spans="1:24">
      <c r="A24" s="134"/>
      <c r="B24" s="135"/>
      <c r="C24" s="135"/>
      <c r="D24" s="136"/>
      <c r="E24" s="137"/>
      <c r="F24" s="137"/>
      <c r="G24" s="138"/>
      <c r="H24" s="138"/>
      <c r="I24" s="137"/>
    </row>
    <row r="25" spans="1:24">
      <c r="A25" s="134"/>
      <c r="B25" s="135"/>
      <c r="C25" s="135"/>
      <c r="D25" s="136"/>
      <c r="E25" s="137"/>
      <c r="F25" s="137"/>
      <c r="G25" s="138"/>
      <c r="H25" s="138"/>
      <c r="I25" s="137"/>
    </row>
    <row r="26" spans="1:24">
      <c r="A26" s="134"/>
      <c r="B26" s="135"/>
      <c r="C26" s="135"/>
      <c r="D26" s="136"/>
      <c r="E26" s="137"/>
      <c r="F26" s="137"/>
      <c r="G26" s="138"/>
      <c r="H26" s="138"/>
      <c r="I26" s="137"/>
    </row>
    <row r="27" spans="1:24">
      <c r="A27" s="134"/>
      <c r="B27" s="135"/>
      <c r="C27" s="135"/>
      <c r="D27" s="136"/>
      <c r="E27" s="137"/>
      <c r="F27" s="137"/>
      <c r="G27" s="138"/>
      <c r="H27" s="138"/>
      <c r="I27" s="137"/>
    </row>
    <row r="28" spans="1:24">
      <c r="A28" s="134"/>
      <c r="B28" s="135"/>
      <c r="C28" s="135"/>
      <c r="D28" s="136"/>
      <c r="E28" s="137"/>
      <c r="F28" s="137"/>
      <c r="G28" s="138"/>
      <c r="H28" s="138"/>
      <c r="I28" s="137"/>
    </row>
    <row r="29" spans="1:24">
      <c r="A29" s="134"/>
      <c r="B29" s="135"/>
      <c r="C29" s="135"/>
      <c r="D29" s="136"/>
      <c r="E29" s="137"/>
      <c r="F29" s="137"/>
      <c r="G29" s="138"/>
      <c r="H29" s="138"/>
      <c r="I29" s="137"/>
    </row>
    <row r="30" spans="1:24">
      <c r="A30" s="134"/>
      <c r="B30" s="135"/>
      <c r="C30" s="135"/>
      <c r="D30" s="136"/>
      <c r="E30" s="137"/>
      <c r="F30" s="137"/>
      <c r="G30" s="138"/>
      <c r="H30" s="138"/>
      <c r="I30" s="137"/>
    </row>
    <row r="31" spans="1:24">
      <c r="A31" s="134"/>
      <c r="B31" s="135"/>
      <c r="C31" s="135"/>
      <c r="D31" s="136"/>
      <c r="E31" s="137"/>
      <c r="F31" s="137"/>
      <c r="G31" s="138"/>
      <c r="H31" s="138"/>
      <c r="I31" s="137"/>
    </row>
    <row r="32" spans="1:24">
      <c r="A32" s="134"/>
      <c r="B32" s="135"/>
      <c r="C32" s="135"/>
      <c r="D32" s="136"/>
      <c r="E32" s="137"/>
      <c r="F32" s="137"/>
      <c r="G32" s="138"/>
      <c r="H32" s="138"/>
      <c r="I32" s="137"/>
    </row>
    <row r="33" spans="1:9">
      <c r="A33" s="134"/>
      <c r="B33" s="135"/>
      <c r="C33" s="135"/>
      <c r="D33" s="136"/>
      <c r="E33" s="137"/>
      <c r="F33" s="137"/>
      <c r="G33" s="138"/>
      <c r="H33" s="138"/>
      <c r="I33" s="137"/>
    </row>
    <row r="34" spans="1:9">
      <c r="A34" s="134"/>
      <c r="B34" s="135"/>
      <c r="C34" s="135"/>
      <c r="D34" s="136"/>
      <c r="E34" s="137"/>
      <c r="F34" s="137"/>
      <c r="G34" s="138"/>
      <c r="H34" s="138"/>
      <c r="I34" s="137"/>
    </row>
    <row r="35" spans="1:9">
      <c r="A35" s="134"/>
      <c r="B35" s="135"/>
      <c r="C35" s="135"/>
      <c r="D35" s="136"/>
      <c r="E35" s="137"/>
      <c r="F35" s="137"/>
      <c r="G35" s="138"/>
      <c r="H35" s="138"/>
      <c r="I35" s="137"/>
    </row>
    <row r="36" spans="1:9">
      <c r="A36" s="130" t="s">
        <v>171</v>
      </c>
      <c r="B36" s="131"/>
      <c r="C36" s="131"/>
      <c r="D36" s="130"/>
      <c r="E36" s="132"/>
      <c r="F36" s="130"/>
      <c r="G36" s="139"/>
      <c r="H36" s="139"/>
      <c r="I36" s="130"/>
    </row>
    <row r="37" spans="1:9">
      <c r="A37" s="134"/>
      <c r="B37" s="135"/>
      <c r="C37" s="135"/>
      <c r="D37" s="136"/>
      <c r="E37" s="137"/>
      <c r="F37" s="137"/>
      <c r="G37" s="138"/>
      <c r="H37" s="138"/>
      <c r="I37" s="137"/>
    </row>
    <row r="38" spans="1:9">
      <c r="A38" s="134"/>
      <c r="B38" s="135"/>
      <c r="C38" s="135"/>
      <c r="D38" s="136"/>
      <c r="E38" s="137"/>
      <c r="F38" s="137"/>
      <c r="G38" s="138"/>
      <c r="H38" s="138"/>
      <c r="I38" s="137"/>
    </row>
    <row r="39" spans="1:9">
      <c r="A39" s="134"/>
      <c r="B39" s="135"/>
      <c r="C39" s="135"/>
      <c r="D39" s="136"/>
      <c r="E39" s="137"/>
      <c r="F39" s="137"/>
      <c r="G39" s="138"/>
      <c r="H39" s="138"/>
      <c r="I39" s="137"/>
    </row>
    <row r="40" spans="1:9">
      <c r="A40" s="134"/>
      <c r="B40" s="135"/>
      <c r="C40" s="135"/>
      <c r="D40" s="136"/>
      <c r="E40" s="137"/>
      <c r="F40" s="137"/>
      <c r="G40" s="138"/>
      <c r="H40" s="138"/>
      <c r="I40" s="137"/>
    </row>
    <row r="41" spans="1:9">
      <c r="A41" s="134"/>
      <c r="B41" s="135"/>
      <c r="C41" s="135"/>
      <c r="D41" s="136"/>
      <c r="E41" s="137"/>
      <c r="F41" s="137"/>
      <c r="G41" s="138"/>
      <c r="H41" s="138"/>
      <c r="I41" s="137"/>
    </row>
    <row r="42" spans="1:9">
      <c r="A42" s="134"/>
      <c r="B42" s="135"/>
      <c r="C42" s="135"/>
      <c r="D42" s="136"/>
      <c r="E42" s="137"/>
      <c r="F42" s="137"/>
      <c r="G42" s="138"/>
      <c r="H42" s="138"/>
      <c r="I42" s="137"/>
    </row>
    <row r="43" spans="1:9">
      <c r="A43" s="134"/>
      <c r="B43" s="135"/>
      <c r="C43" s="135"/>
      <c r="D43" s="136"/>
      <c r="E43" s="137"/>
      <c r="F43" s="137"/>
      <c r="G43" s="138"/>
      <c r="H43" s="138"/>
      <c r="I43" s="137"/>
    </row>
    <row r="44" spans="1:9">
      <c r="A44" s="134"/>
      <c r="B44" s="135"/>
      <c r="C44" s="135"/>
      <c r="D44" s="136"/>
      <c r="E44" s="137"/>
      <c r="F44" s="137"/>
      <c r="G44" s="138"/>
      <c r="H44" s="138"/>
      <c r="I44" s="137"/>
    </row>
    <row r="45" spans="1:9">
      <c r="A45" s="134"/>
      <c r="B45" s="135"/>
      <c r="C45" s="135"/>
      <c r="D45" s="136"/>
      <c r="E45" s="137"/>
      <c r="F45" s="137"/>
      <c r="G45" s="138"/>
      <c r="H45" s="138"/>
      <c r="I45" s="137"/>
    </row>
    <row r="46" spans="1:9">
      <c r="A46" s="134"/>
      <c r="B46" s="135"/>
      <c r="C46" s="135"/>
      <c r="D46" s="136"/>
      <c r="E46" s="137"/>
      <c r="F46" s="137"/>
      <c r="G46" s="138"/>
      <c r="H46" s="138"/>
      <c r="I46" s="137"/>
    </row>
    <row r="47" spans="1:9">
      <c r="A47" s="134"/>
      <c r="B47" s="135"/>
      <c r="C47" s="135"/>
      <c r="D47" s="136"/>
      <c r="E47" s="137"/>
      <c r="F47" s="137"/>
      <c r="G47" s="138"/>
      <c r="H47" s="138"/>
      <c r="I47" s="137"/>
    </row>
    <row r="48" spans="1:9">
      <c r="A48" s="134"/>
      <c r="B48" s="135"/>
      <c r="C48" s="135"/>
      <c r="D48" s="136"/>
      <c r="E48" s="137"/>
      <c r="F48" s="137"/>
      <c r="G48" s="138"/>
      <c r="H48" s="138"/>
      <c r="I48" s="137"/>
    </row>
    <row r="49" spans="1:9">
      <c r="A49" s="134"/>
      <c r="B49" s="135"/>
      <c r="C49" s="135"/>
      <c r="D49" s="136"/>
      <c r="E49" s="137"/>
      <c r="F49" s="137"/>
      <c r="G49" s="138"/>
      <c r="H49" s="138"/>
      <c r="I49" s="137"/>
    </row>
    <row r="50" spans="1:9">
      <c r="A50" s="134"/>
      <c r="B50" s="135"/>
      <c r="C50" s="135"/>
      <c r="D50" s="136"/>
      <c r="E50" s="141"/>
      <c r="F50" s="141"/>
      <c r="G50" s="138"/>
      <c r="H50" s="138"/>
      <c r="I50" s="141"/>
    </row>
    <row r="51" spans="1:9">
      <c r="A51" s="134"/>
      <c r="B51" s="135"/>
      <c r="C51" s="135"/>
      <c r="D51" s="136"/>
      <c r="E51" s="141"/>
      <c r="F51" s="141"/>
      <c r="G51" s="138"/>
      <c r="H51" s="138"/>
      <c r="I51" s="141"/>
    </row>
    <row r="52" spans="1:9">
      <c r="A52" s="134"/>
      <c r="B52" s="135"/>
      <c r="C52" s="135"/>
      <c r="D52" s="136"/>
      <c r="E52" s="141"/>
      <c r="F52" s="141"/>
      <c r="G52" s="138"/>
      <c r="H52" s="138"/>
      <c r="I52" s="141"/>
    </row>
    <row r="53" spans="1:9">
      <c r="A53" s="134"/>
      <c r="B53" s="135"/>
      <c r="C53" s="135"/>
      <c r="D53" s="136"/>
      <c r="E53" s="141"/>
      <c r="F53" s="141"/>
      <c r="G53" s="138"/>
      <c r="H53" s="138"/>
      <c r="I53" s="141"/>
    </row>
    <row r="54" spans="1:9">
      <c r="A54" s="134"/>
      <c r="B54" s="135"/>
      <c r="C54" s="135"/>
      <c r="D54" s="136"/>
      <c r="E54" s="141"/>
      <c r="F54" s="141"/>
      <c r="G54" s="138"/>
      <c r="H54" s="138"/>
      <c r="I54" s="141"/>
    </row>
    <row r="55" spans="1:9">
      <c r="A55" s="134"/>
      <c r="B55" s="135"/>
      <c r="C55" s="135"/>
      <c r="D55" s="136"/>
      <c r="E55" s="141"/>
      <c r="F55" s="141"/>
      <c r="G55" s="138"/>
      <c r="H55" s="138"/>
      <c r="I55" s="141"/>
    </row>
    <row r="56" spans="1:9">
      <c r="A56" s="134"/>
      <c r="B56" s="135"/>
      <c r="C56" s="135"/>
      <c r="D56" s="136"/>
      <c r="E56" s="141"/>
      <c r="F56" s="141"/>
      <c r="G56" s="138"/>
      <c r="H56" s="138"/>
      <c r="I56" s="141"/>
    </row>
    <row r="57" spans="1:9">
      <c r="A57" s="134"/>
      <c r="B57" s="135"/>
      <c r="C57" s="135"/>
      <c r="D57" s="136"/>
      <c r="E57" s="141"/>
      <c r="F57" s="141"/>
      <c r="G57" s="138"/>
      <c r="H57" s="138"/>
      <c r="I57" s="141"/>
    </row>
    <row r="58" spans="1:9">
      <c r="A58" s="142"/>
      <c r="B58" s="140"/>
      <c r="C58" s="140"/>
      <c r="D58" s="143"/>
      <c r="E58" s="141"/>
      <c r="F58" s="141"/>
      <c r="G58" s="138"/>
      <c r="H58" s="138"/>
      <c r="I58" s="141"/>
    </row>
    <row r="59" spans="1:9">
      <c r="A59" s="142"/>
      <c r="B59" s="140"/>
      <c r="C59" s="140"/>
      <c r="D59" s="143"/>
      <c r="E59" s="141"/>
      <c r="F59" s="141"/>
      <c r="G59" s="138"/>
      <c r="H59" s="138"/>
      <c r="I59" s="141"/>
    </row>
    <row r="60" spans="1:9">
      <c r="A60" s="142"/>
      <c r="B60" s="140"/>
      <c r="C60" s="140"/>
      <c r="D60" s="143"/>
      <c r="E60" s="141"/>
      <c r="F60" s="141"/>
      <c r="G60" s="138"/>
      <c r="H60" s="138"/>
      <c r="I60" s="141"/>
    </row>
    <row r="61" spans="1:9">
      <c r="A61" s="142"/>
      <c r="B61" s="140"/>
      <c r="C61" s="140"/>
      <c r="D61" s="143"/>
      <c r="E61" s="141"/>
      <c r="F61" s="141"/>
      <c r="G61" s="138"/>
      <c r="H61" s="138"/>
      <c r="I61" s="141"/>
    </row>
    <row r="62" spans="1:9">
      <c r="A62" s="142"/>
      <c r="B62" s="140"/>
      <c r="C62" s="140"/>
      <c r="D62" s="143"/>
      <c r="E62" s="141"/>
      <c r="F62" s="141"/>
      <c r="G62" s="138"/>
      <c r="H62" s="138"/>
      <c r="I62" s="141"/>
    </row>
    <row r="63" spans="1:9">
      <c r="A63" s="142"/>
      <c r="B63" s="140"/>
      <c r="C63" s="140"/>
      <c r="D63" s="143"/>
      <c r="E63" s="141"/>
      <c r="F63" s="141"/>
      <c r="G63" s="138"/>
      <c r="H63" s="138"/>
      <c r="I63" s="141"/>
    </row>
    <row r="64" spans="1:9">
      <c r="A64" s="142"/>
      <c r="B64" s="140"/>
      <c r="C64" s="140"/>
      <c r="D64" s="143"/>
      <c r="E64" s="141"/>
      <c r="F64" s="141"/>
      <c r="G64" s="138"/>
      <c r="H64" s="138"/>
      <c r="I64" s="141"/>
    </row>
    <row r="65" spans="1:9">
      <c r="A65" s="142"/>
      <c r="B65" s="140"/>
      <c r="C65" s="140"/>
      <c r="D65" s="143"/>
      <c r="E65" s="141"/>
      <c r="F65" s="141"/>
      <c r="G65" s="138"/>
      <c r="H65" s="138"/>
      <c r="I65" s="141"/>
    </row>
    <row r="66" spans="1:9">
      <c r="A66" s="142"/>
      <c r="B66" s="140"/>
      <c r="C66" s="140"/>
      <c r="D66" s="143"/>
      <c r="E66" s="141"/>
      <c r="F66" s="141"/>
      <c r="G66" s="138"/>
      <c r="H66" s="138"/>
      <c r="I66" s="141"/>
    </row>
    <row r="67" spans="1:9">
      <c r="A67" s="142"/>
      <c r="B67" s="140"/>
      <c r="C67" s="140"/>
      <c r="D67" s="143"/>
      <c r="E67" s="141"/>
      <c r="F67" s="141"/>
      <c r="G67" s="138"/>
      <c r="H67" s="138"/>
      <c r="I67" s="141"/>
    </row>
    <row r="68" spans="1:9">
      <c r="A68" s="142"/>
      <c r="B68" s="140"/>
      <c r="C68" s="140"/>
      <c r="D68" s="143"/>
      <c r="E68" s="141"/>
      <c r="F68" s="141"/>
      <c r="G68" s="138"/>
      <c r="H68" s="138"/>
      <c r="I68" s="141"/>
    </row>
    <row r="69" spans="1:9">
      <c r="A69" s="142"/>
      <c r="B69" s="140"/>
      <c r="C69" s="140"/>
      <c r="D69" s="143"/>
      <c r="E69" s="141"/>
      <c r="F69" s="141"/>
      <c r="G69" s="138"/>
      <c r="H69" s="138"/>
      <c r="I69" s="141"/>
    </row>
    <row r="70" spans="1:9">
      <c r="A70" s="142"/>
      <c r="B70" s="140"/>
      <c r="C70" s="140"/>
      <c r="D70" s="143"/>
      <c r="E70" s="141"/>
      <c r="F70" s="141"/>
      <c r="G70" s="138"/>
      <c r="H70" s="138"/>
      <c r="I70" s="141"/>
    </row>
    <row r="71" spans="1:9">
      <c r="A71" s="142"/>
      <c r="B71" s="140"/>
      <c r="C71" s="140"/>
      <c r="D71" s="143"/>
      <c r="E71" s="141"/>
      <c r="F71" s="141"/>
      <c r="G71" s="138"/>
      <c r="H71" s="138"/>
      <c r="I71" s="141"/>
    </row>
    <row r="72" spans="1:9">
      <c r="A72" s="142"/>
      <c r="B72" s="140"/>
      <c r="C72" s="140"/>
      <c r="D72" s="143"/>
      <c r="E72" s="141"/>
      <c r="F72" s="141"/>
      <c r="G72" s="138"/>
      <c r="H72" s="138"/>
      <c r="I72" s="141"/>
    </row>
    <row r="73" spans="1:9">
      <c r="A73" s="142"/>
      <c r="B73" s="140"/>
      <c r="C73" s="140"/>
      <c r="D73" s="143"/>
      <c r="E73" s="141"/>
      <c r="F73" s="141"/>
      <c r="G73" s="138"/>
      <c r="H73" s="138"/>
      <c r="I73" s="141"/>
    </row>
    <row r="74" spans="1:9">
      <c r="A74" s="142"/>
      <c r="B74" s="140"/>
      <c r="C74" s="140"/>
      <c r="D74" s="143"/>
      <c r="E74" s="141"/>
      <c r="F74" s="141"/>
      <c r="G74" s="138"/>
      <c r="H74" s="138"/>
      <c r="I74" s="141"/>
    </row>
    <row r="75" spans="1:9">
      <c r="A75" s="142"/>
      <c r="B75" s="140"/>
      <c r="C75" s="140"/>
      <c r="D75" s="143"/>
      <c r="E75" s="141"/>
      <c r="F75" s="141"/>
      <c r="G75" s="138"/>
      <c r="H75" s="138"/>
      <c r="I75" s="141"/>
    </row>
    <row r="76" spans="1:9">
      <c r="A76" s="142"/>
      <c r="B76" s="140"/>
      <c r="C76" s="140"/>
      <c r="D76" s="143"/>
      <c r="E76" s="141"/>
      <c r="F76" s="141"/>
      <c r="G76" s="138"/>
      <c r="H76" s="138"/>
      <c r="I76" s="141"/>
    </row>
    <row r="77" spans="1:9">
      <c r="A77" s="142"/>
      <c r="B77" s="140"/>
      <c r="C77" s="140"/>
      <c r="D77" s="143"/>
      <c r="E77" s="141"/>
      <c r="F77" s="141"/>
      <c r="G77" s="138"/>
      <c r="H77" s="138"/>
      <c r="I77" s="141"/>
    </row>
    <row r="78" spans="1:9">
      <c r="A78" s="142"/>
      <c r="B78" s="140"/>
      <c r="C78" s="140"/>
      <c r="D78" s="143"/>
      <c r="E78" s="141"/>
      <c r="F78" s="141"/>
      <c r="G78" s="138"/>
      <c r="H78" s="138"/>
      <c r="I78" s="141"/>
    </row>
    <row r="79" spans="1:9">
      <c r="A79" s="142"/>
      <c r="B79" s="140"/>
      <c r="C79" s="140"/>
      <c r="D79" s="143"/>
      <c r="E79" s="141"/>
      <c r="F79" s="141"/>
      <c r="G79" s="138"/>
      <c r="H79" s="138"/>
      <c r="I79" s="141"/>
    </row>
    <row r="80" spans="1:9">
      <c r="A80" s="142"/>
      <c r="B80" s="140"/>
      <c r="C80" s="140"/>
      <c r="D80" s="143"/>
      <c r="E80" s="141"/>
      <c r="F80" s="141"/>
      <c r="G80" s="138"/>
      <c r="H80" s="138"/>
      <c r="I80" s="141"/>
    </row>
    <row r="81" spans="1:9">
      <c r="A81" s="142"/>
      <c r="B81" s="140"/>
      <c r="C81" s="140"/>
      <c r="D81" s="143"/>
      <c r="E81" s="141"/>
      <c r="F81" s="141"/>
      <c r="G81" s="138"/>
      <c r="H81" s="138"/>
      <c r="I81" s="141"/>
    </row>
    <row r="82" spans="1:9">
      <c r="A82" s="142"/>
      <c r="B82" s="140"/>
      <c r="C82" s="140"/>
      <c r="D82" s="143"/>
      <c r="E82" s="141"/>
      <c r="F82" s="141"/>
      <c r="G82" s="138"/>
      <c r="H82" s="138"/>
      <c r="I82" s="141"/>
    </row>
    <row r="83" spans="1:9">
      <c r="A83" s="142"/>
      <c r="B83" s="140"/>
      <c r="C83" s="140"/>
      <c r="D83" s="143"/>
      <c r="E83" s="141"/>
      <c r="F83" s="141"/>
      <c r="G83" s="138"/>
      <c r="H83" s="138"/>
      <c r="I83" s="141"/>
    </row>
    <row r="84" spans="1:9">
      <c r="A84" s="142"/>
      <c r="B84" s="140"/>
      <c r="C84" s="140"/>
      <c r="D84" s="143"/>
      <c r="E84" s="141"/>
      <c r="F84" s="141"/>
      <c r="G84" s="138"/>
      <c r="H84" s="138"/>
      <c r="I84" s="141"/>
    </row>
    <row r="85" spans="1:9">
      <c r="A85" s="142"/>
      <c r="B85" s="140"/>
      <c r="C85" s="140"/>
      <c r="D85" s="143"/>
      <c r="E85" s="141"/>
      <c r="F85" s="141"/>
      <c r="G85" s="138"/>
      <c r="H85" s="138"/>
      <c r="I85" s="141"/>
    </row>
    <row r="86" spans="1:9">
      <c r="A86" s="142"/>
      <c r="B86" s="140"/>
      <c r="C86" s="140"/>
      <c r="D86" s="143"/>
      <c r="E86" s="141"/>
      <c r="F86" s="141"/>
      <c r="G86" s="138"/>
      <c r="H86" s="138"/>
      <c r="I86" s="141"/>
    </row>
    <row r="87" spans="1:9">
      <c r="A87" s="142"/>
      <c r="B87" s="140"/>
      <c r="C87" s="140"/>
      <c r="D87" s="143"/>
      <c r="E87" s="141"/>
      <c r="F87" s="141"/>
      <c r="G87" s="138"/>
      <c r="H87" s="138"/>
      <c r="I87" s="141"/>
    </row>
  </sheetData>
  <phoneticPr fontId="2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5"/>
  <dimension ref="A1:Z71"/>
  <sheetViews>
    <sheetView view="pageBreakPreview" topLeftCell="A13" zoomScaleSheetLayoutView="100" workbookViewId="0">
      <selection activeCell="AE34" sqref="AE34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 t="s">
        <v>188</v>
      </c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 t="s">
        <v>189</v>
      </c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SUM(K13:L221)+COUNTIF(J13:J221,"decimal")*17+COUNTIF(J13:J221,"text")*200-SUMIF(J13:J221,"decimal",K13:K221)-SUMIF(J13:J221,"decimal",L13:L221)-SUMIF(J13:J221,"text",K13:K221)-SUMIF(J13:J221,"text",L13:L221)</f>
        <v>24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45">
        <f t="shared" ref="B13:B15" si="0">ROW()-12</f>
        <v>1</v>
      </c>
      <c r="C13" s="146" t="s">
        <v>192</v>
      </c>
      <c r="D13" s="147"/>
      <c r="E13" s="148"/>
      <c r="F13" s="149" t="s">
        <v>190</v>
      </c>
      <c r="G13" s="150"/>
      <c r="H13" s="150"/>
      <c r="I13" s="151"/>
      <c r="J13" s="145" t="s">
        <v>195</v>
      </c>
      <c r="K13" s="32">
        <v>6</v>
      </c>
      <c r="L13" s="33"/>
      <c r="M13" s="34">
        <v>1</v>
      </c>
      <c r="N13" s="35"/>
      <c r="O13" s="36"/>
      <c r="P13" s="36"/>
      <c r="Q13" s="35"/>
      <c r="R13" s="35"/>
      <c r="S13" s="35"/>
      <c r="T13" s="35"/>
      <c r="U13" s="40"/>
      <c r="V13" s="41" t="s">
        <v>103</v>
      </c>
      <c r="W13" s="41"/>
      <c r="X13" s="198"/>
      <c r="Y13" s="198"/>
      <c r="Z13" s="198"/>
    </row>
    <row r="14" spans="1:26" ht="13.5" customHeight="1">
      <c r="B14" s="145">
        <f t="shared" si="0"/>
        <v>2</v>
      </c>
      <c r="C14" s="146" t="s">
        <v>193</v>
      </c>
      <c r="D14" s="147"/>
      <c r="E14" s="148"/>
      <c r="F14" s="149" t="s">
        <v>191</v>
      </c>
      <c r="G14" s="150"/>
      <c r="H14" s="150"/>
      <c r="I14" s="151"/>
      <c r="J14" s="145" t="s">
        <v>144</v>
      </c>
      <c r="K14" s="32">
        <v>14</v>
      </c>
      <c r="L14" s="33"/>
      <c r="M14" s="34">
        <v>2</v>
      </c>
      <c r="N14" s="35"/>
      <c r="O14" s="36"/>
      <c r="P14" s="36"/>
      <c r="Q14" s="35"/>
      <c r="R14" s="35"/>
      <c r="S14" s="35"/>
      <c r="T14" s="35"/>
      <c r="U14" s="40"/>
      <c r="V14" s="41" t="s">
        <v>103</v>
      </c>
      <c r="W14" s="41"/>
      <c r="X14" s="198"/>
      <c r="Y14" s="198"/>
      <c r="Z14" s="198"/>
    </row>
    <row r="15" spans="1:26" ht="13.5" customHeight="1">
      <c r="B15" s="145">
        <f t="shared" si="0"/>
        <v>3</v>
      </c>
      <c r="C15" s="146" t="s">
        <v>194</v>
      </c>
      <c r="D15" s="147"/>
      <c r="E15" s="148"/>
      <c r="F15" s="153" t="s">
        <v>196</v>
      </c>
      <c r="G15" s="150"/>
      <c r="H15" s="150"/>
      <c r="I15" s="151"/>
      <c r="J15" s="152" t="s">
        <v>135</v>
      </c>
      <c r="K15" s="32">
        <v>4</v>
      </c>
      <c r="L15" s="33"/>
      <c r="M15" s="34"/>
      <c r="N15" s="35"/>
      <c r="O15" s="36"/>
      <c r="P15" s="36"/>
      <c r="Q15" s="35"/>
      <c r="R15" s="35"/>
      <c r="S15" s="35"/>
      <c r="T15" s="35"/>
      <c r="U15" s="40"/>
      <c r="V15" s="41" t="s">
        <v>103</v>
      </c>
      <c r="W15" s="41"/>
      <c r="X15" s="197"/>
      <c r="Y15" s="198"/>
      <c r="Z15" s="198"/>
    </row>
    <row r="16" spans="1:26"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26"/>
      <c r="Y16" s="26"/>
      <c r="Z16" s="24"/>
    </row>
    <row r="17" spans="2:26"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26"/>
      <c r="Y17" s="26"/>
      <c r="Z17" s="24"/>
    </row>
    <row r="18" spans="2:26">
      <c r="B18" s="25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26"/>
      <c r="Y18" s="26"/>
      <c r="Z18" s="24"/>
    </row>
    <row r="19" spans="2:26">
      <c r="B19" s="25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26"/>
      <c r="Y19" s="26"/>
      <c r="Z19" s="24"/>
    </row>
    <row r="20" spans="2:26"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26"/>
      <c r="Y20" s="26"/>
      <c r="Z20" s="24"/>
    </row>
    <row r="21" spans="2:26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26"/>
      <c r="Y21" s="26"/>
      <c r="Z21" s="24"/>
    </row>
    <row r="22" spans="2:26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26"/>
      <c r="Y22" s="26"/>
      <c r="Z22" s="24"/>
    </row>
    <row r="23" spans="2:26"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26"/>
      <c r="Y23" s="26"/>
      <c r="Z23" s="24"/>
    </row>
    <row r="24" spans="2:26"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26"/>
      <c r="Y24" s="26"/>
      <c r="Z24" s="24"/>
    </row>
    <row r="25" spans="2:26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26"/>
      <c r="Y25" s="26"/>
      <c r="Z25" s="24"/>
    </row>
    <row r="26" spans="2:26"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26"/>
      <c r="Y26" s="26"/>
      <c r="Z26" s="24"/>
    </row>
    <row r="27" spans="2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2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2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2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2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2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</sheetData>
  <sheetProtection selectLockedCells="1" selectUnlockedCells="1"/>
  <mergeCells count="48">
    <mergeCell ref="X15:Z15"/>
    <mergeCell ref="B11:B12"/>
    <mergeCell ref="C11:E12"/>
    <mergeCell ref="F11:I12"/>
    <mergeCell ref="J11:J12"/>
    <mergeCell ref="K11:L12"/>
    <mergeCell ref="M11:U11"/>
    <mergeCell ref="V11:V12"/>
    <mergeCell ref="W11:W12"/>
    <mergeCell ref="X11:Z12"/>
    <mergeCell ref="X13:Z13"/>
    <mergeCell ref="X14:Z14"/>
    <mergeCell ref="B8:D8"/>
    <mergeCell ref="E8:L8"/>
    <mergeCell ref="M8:P10"/>
    <mergeCell ref="Q8:Z8"/>
    <mergeCell ref="B9:D9"/>
    <mergeCell ref="E9:L9"/>
    <mergeCell ref="Q9:Z9"/>
    <mergeCell ref="B10:D10"/>
    <mergeCell ref="E10:L10"/>
    <mergeCell ref="Q10:Z10"/>
    <mergeCell ref="B6:D6"/>
    <mergeCell ref="E6:L6"/>
    <mergeCell ref="M6:P6"/>
    <mergeCell ref="Q6:Z6"/>
    <mergeCell ref="B7:D7"/>
    <mergeCell ref="E7:L7"/>
    <mergeCell ref="M7:P7"/>
    <mergeCell ref="Q7:U7"/>
    <mergeCell ref="V7:Y7"/>
    <mergeCell ref="X3:Z5"/>
    <mergeCell ref="K4:N4"/>
    <mergeCell ref="O4:S4"/>
    <mergeCell ref="T4:W4"/>
    <mergeCell ref="K5:N5"/>
    <mergeCell ref="O5:S5"/>
    <mergeCell ref="T5:W5"/>
    <mergeCell ref="B2:D2"/>
    <mergeCell ref="F2:H2"/>
    <mergeCell ref="K2:S2"/>
    <mergeCell ref="T2:W2"/>
    <mergeCell ref="X2:Z2"/>
    <mergeCell ref="B3:E5"/>
    <mergeCell ref="F3:J5"/>
    <mergeCell ref="K3:N3"/>
    <mergeCell ref="O3:S3"/>
    <mergeCell ref="T3:W3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EADF-FD8E-43C6-B7D5-A76FCD165085}">
  <sheetPr codeName="Sheet269"/>
  <dimension ref="A1:Z79"/>
  <sheetViews>
    <sheetView view="pageBreakPreview" topLeftCell="A4" zoomScaleSheetLayoutView="100" workbookViewId="0">
      <selection activeCell="AC22" sqref="AC22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 t="s">
        <v>219</v>
      </c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 t="s">
        <v>220</v>
      </c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SUM(K13:L229)+COUNTIF(J13:J229,"decimal")*17+COUNTIF(J13:J229,"text")*200-SUMIF(J13:J229,"decimal",K13:K229)-SUMIF(J13:J229,"decimal",L13:L229)-SUMIF(J13:J229,"text",K13:K229)-SUMIF(J13:J229,"text",L13:L229)</f>
        <v>542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76">
        <f t="shared" ref="B13:B26" si="0">ROW()-12</f>
        <v>1</v>
      </c>
      <c r="C13" s="177" t="s">
        <v>228</v>
      </c>
      <c r="D13" s="178"/>
      <c r="E13" s="179"/>
      <c r="F13" s="180" t="s">
        <v>221</v>
      </c>
      <c r="G13" s="181"/>
      <c r="H13" s="181"/>
      <c r="I13" s="182"/>
      <c r="J13" s="176" t="s">
        <v>135</v>
      </c>
      <c r="K13" s="32"/>
      <c r="L13" s="168"/>
      <c r="M13" s="169">
        <v>1</v>
      </c>
      <c r="N13" s="170">
        <v>1</v>
      </c>
      <c r="O13" s="171"/>
      <c r="P13" s="171"/>
      <c r="Q13" s="170"/>
      <c r="R13" s="170"/>
      <c r="S13" s="170"/>
      <c r="T13" s="170"/>
      <c r="U13" s="173"/>
      <c r="V13" s="174" t="s">
        <v>103</v>
      </c>
      <c r="W13" s="174"/>
      <c r="X13" s="198"/>
      <c r="Y13" s="198"/>
      <c r="Z13" s="198"/>
    </row>
    <row r="14" spans="1:26" ht="13.5" customHeight="1">
      <c r="B14" s="176">
        <f t="shared" si="0"/>
        <v>2</v>
      </c>
      <c r="C14" s="215" t="s">
        <v>229</v>
      </c>
      <c r="D14" s="216"/>
      <c r="E14" s="217"/>
      <c r="F14" s="180" t="s">
        <v>222</v>
      </c>
      <c r="G14" s="181"/>
      <c r="H14" s="181"/>
      <c r="I14" s="182"/>
      <c r="J14" s="176" t="s">
        <v>136</v>
      </c>
      <c r="K14" s="32">
        <v>20</v>
      </c>
      <c r="L14" s="168"/>
      <c r="M14" s="169"/>
      <c r="N14" s="170"/>
      <c r="O14" s="171">
        <v>1</v>
      </c>
      <c r="P14" s="171"/>
      <c r="Q14" s="170"/>
      <c r="R14" s="170"/>
      <c r="S14" s="170"/>
      <c r="T14" s="170"/>
      <c r="U14" s="173"/>
      <c r="V14" s="174" t="s">
        <v>103</v>
      </c>
      <c r="W14" s="174"/>
      <c r="X14" s="198" t="s">
        <v>167</v>
      </c>
      <c r="Y14" s="198"/>
      <c r="Z14" s="198"/>
    </row>
    <row r="15" spans="1:26" ht="13.5" customHeight="1">
      <c r="B15" s="176">
        <f t="shared" si="0"/>
        <v>3</v>
      </c>
      <c r="C15" s="215" t="s">
        <v>231</v>
      </c>
      <c r="D15" s="216"/>
      <c r="E15" s="217"/>
      <c r="F15" s="180" t="s">
        <v>230</v>
      </c>
      <c r="G15" s="181"/>
      <c r="H15" s="181"/>
      <c r="I15" s="182"/>
      <c r="J15" s="176" t="s">
        <v>166</v>
      </c>
      <c r="K15" s="32">
        <v>20</v>
      </c>
      <c r="L15" s="168"/>
      <c r="M15" s="169"/>
      <c r="N15" s="170"/>
      <c r="O15" s="171"/>
      <c r="P15" s="171"/>
      <c r="Q15" s="170"/>
      <c r="R15" s="170"/>
      <c r="S15" s="170"/>
      <c r="T15" s="170"/>
      <c r="U15" s="173"/>
      <c r="V15" s="174"/>
      <c r="W15" s="174"/>
      <c r="X15" s="198"/>
      <c r="Y15" s="198"/>
      <c r="Z15" s="198"/>
    </row>
    <row r="16" spans="1:26" ht="13.5" customHeight="1">
      <c r="B16" s="176">
        <f t="shared" si="0"/>
        <v>4</v>
      </c>
      <c r="C16" s="177" t="s">
        <v>232</v>
      </c>
      <c r="D16" s="178"/>
      <c r="E16" s="179"/>
      <c r="F16" s="180" t="s">
        <v>160</v>
      </c>
      <c r="G16" s="181"/>
      <c r="H16" s="181"/>
      <c r="I16" s="182"/>
      <c r="J16" s="176" t="s">
        <v>166</v>
      </c>
      <c r="K16" s="32">
        <v>20</v>
      </c>
      <c r="L16" s="168"/>
      <c r="M16" s="169"/>
      <c r="N16" s="170"/>
      <c r="O16" s="171"/>
      <c r="P16" s="171">
        <v>1</v>
      </c>
      <c r="Q16" s="170"/>
      <c r="R16" s="170"/>
      <c r="S16" s="170"/>
      <c r="T16" s="170"/>
      <c r="U16" s="173"/>
      <c r="V16" s="174" t="s">
        <v>103</v>
      </c>
      <c r="W16" s="174"/>
      <c r="X16" s="198"/>
      <c r="Y16" s="198"/>
      <c r="Z16" s="198"/>
    </row>
    <row r="17" spans="1:26" ht="13.5">
      <c r="A17" s="24"/>
      <c r="B17" s="176">
        <f t="shared" si="0"/>
        <v>5</v>
      </c>
      <c r="C17" s="180" t="s">
        <v>237</v>
      </c>
      <c r="D17" s="166"/>
      <c r="E17" s="167"/>
      <c r="F17" s="180" t="s">
        <v>238</v>
      </c>
      <c r="G17" s="181"/>
      <c r="H17" s="181"/>
      <c r="I17" s="182"/>
      <c r="J17" s="176" t="s">
        <v>136</v>
      </c>
      <c r="K17" s="32">
        <v>50</v>
      </c>
      <c r="L17" s="168"/>
      <c r="M17" s="169"/>
      <c r="N17" s="170"/>
      <c r="O17" s="171"/>
      <c r="P17" s="171"/>
      <c r="Q17" s="170">
        <v>1</v>
      </c>
      <c r="R17" s="170"/>
      <c r="S17" s="170"/>
      <c r="T17" s="170"/>
      <c r="U17" s="173"/>
      <c r="V17" s="174" t="s">
        <v>103</v>
      </c>
      <c r="W17" s="174"/>
      <c r="X17" s="198"/>
      <c r="Y17" s="198"/>
      <c r="Z17" s="198"/>
    </row>
    <row r="18" spans="1:26" ht="13.5" customHeight="1">
      <c r="B18" s="176">
        <f t="shared" si="0"/>
        <v>6</v>
      </c>
      <c r="C18" s="177" t="s">
        <v>164</v>
      </c>
      <c r="D18" s="178"/>
      <c r="E18" s="179"/>
      <c r="F18" s="180" t="s">
        <v>185</v>
      </c>
      <c r="G18" s="181"/>
      <c r="H18" s="181"/>
      <c r="I18" s="182"/>
      <c r="J18" s="176" t="s">
        <v>136</v>
      </c>
      <c r="K18" s="32">
        <v>6</v>
      </c>
      <c r="L18" s="168"/>
      <c r="M18" s="169"/>
      <c r="N18" s="170"/>
      <c r="O18" s="171"/>
      <c r="P18" s="171"/>
      <c r="Q18" s="170"/>
      <c r="R18" s="170"/>
      <c r="S18" s="170"/>
      <c r="T18" s="170"/>
      <c r="U18" s="173"/>
      <c r="V18" s="174" t="s">
        <v>103</v>
      </c>
      <c r="W18" s="174"/>
      <c r="X18" s="198"/>
      <c r="Y18" s="198"/>
      <c r="Z18" s="198"/>
    </row>
    <row r="19" spans="1:26" ht="13.5">
      <c r="A19" s="24"/>
      <c r="B19" s="176">
        <f t="shared" si="0"/>
        <v>7</v>
      </c>
      <c r="C19" s="180" t="s">
        <v>165</v>
      </c>
      <c r="D19" s="166"/>
      <c r="E19" s="167"/>
      <c r="F19" s="180" t="s">
        <v>159</v>
      </c>
      <c r="G19" s="181"/>
      <c r="H19" s="181"/>
      <c r="I19" s="182"/>
      <c r="J19" s="176" t="s">
        <v>136</v>
      </c>
      <c r="K19" s="32">
        <v>20</v>
      </c>
      <c r="L19" s="168"/>
      <c r="M19" s="169"/>
      <c r="N19" s="170"/>
      <c r="O19" s="171"/>
      <c r="P19" s="171"/>
      <c r="Q19" s="170"/>
      <c r="R19" s="170"/>
      <c r="S19" s="170"/>
      <c r="T19" s="170"/>
      <c r="U19" s="173"/>
      <c r="V19" s="174"/>
      <c r="W19" s="174"/>
      <c r="X19" s="197"/>
      <c r="Y19" s="198"/>
      <c r="Z19" s="198"/>
    </row>
    <row r="20" spans="1:26" ht="13.5">
      <c r="A20" s="24"/>
      <c r="B20" s="176">
        <f t="shared" si="0"/>
        <v>8</v>
      </c>
      <c r="C20" s="180" t="s">
        <v>163</v>
      </c>
      <c r="D20" s="166"/>
      <c r="E20" s="167"/>
      <c r="F20" s="180" t="s">
        <v>223</v>
      </c>
      <c r="G20" s="181"/>
      <c r="H20" s="181"/>
      <c r="I20" s="182"/>
      <c r="J20" s="176" t="s">
        <v>136</v>
      </c>
      <c r="K20" s="32">
        <v>64</v>
      </c>
      <c r="L20" s="168"/>
      <c r="M20" s="169"/>
      <c r="N20" s="170"/>
      <c r="O20" s="171"/>
      <c r="P20" s="171"/>
      <c r="Q20" s="170"/>
      <c r="R20" s="170"/>
      <c r="S20" s="170"/>
      <c r="T20" s="170"/>
      <c r="U20" s="173"/>
      <c r="V20" s="174" t="s">
        <v>103</v>
      </c>
      <c r="W20" s="174"/>
      <c r="X20" s="220"/>
      <c r="Y20" s="198"/>
      <c r="Z20" s="198"/>
    </row>
    <row r="21" spans="1:26" ht="13.5" customHeight="1">
      <c r="A21" s="24"/>
      <c r="B21" s="176">
        <f t="shared" si="0"/>
        <v>9</v>
      </c>
      <c r="C21" s="180" t="s">
        <v>233</v>
      </c>
      <c r="D21" s="166"/>
      <c r="E21" s="167"/>
      <c r="F21" s="180" t="s">
        <v>224</v>
      </c>
      <c r="G21" s="181"/>
      <c r="H21" s="181"/>
      <c r="I21" s="182"/>
      <c r="J21" s="176" t="s">
        <v>136</v>
      </c>
      <c r="K21" s="172">
        <v>10</v>
      </c>
      <c r="L21" s="168"/>
      <c r="M21" s="169"/>
      <c r="N21" s="170"/>
      <c r="O21" s="171"/>
      <c r="P21" s="171"/>
      <c r="Q21" s="170"/>
      <c r="R21" s="170"/>
      <c r="S21" s="170"/>
      <c r="T21" s="170"/>
      <c r="U21" s="173"/>
      <c r="V21" s="174"/>
      <c r="W21" s="174"/>
      <c r="X21" s="197"/>
      <c r="Y21" s="198"/>
      <c r="Z21" s="198"/>
    </row>
    <row r="22" spans="1:26" ht="13.5" customHeight="1">
      <c r="A22" s="26"/>
      <c r="B22" s="176">
        <f t="shared" si="0"/>
        <v>10</v>
      </c>
      <c r="C22" s="180" t="s">
        <v>234</v>
      </c>
      <c r="D22" s="166"/>
      <c r="E22" s="167"/>
      <c r="F22" s="180" t="s">
        <v>225</v>
      </c>
      <c r="G22" s="181"/>
      <c r="H22" s="181"/>
      <c r="I22" s="182"/>
      <c r="J22" s="176" t="s">
        <v>138</v>
      </c>
      <c r="K22" s="172"/>
      <c r="L22" s="168"/>
      <c r="M22" s="169"/>
      <c r="N22" s="170"/>
      <c r="O22" s="171"/>
      <c r="P22" s="171"/>
      <c r="Q22" s="170"/>
      <c r="R22" s="170"/>
      <c r="S22" s="170"/>
      <c r="T22" s="170"/>
      <c r="U22" s="173"/>
      <c r="V22" s="174"/>
      <c r="W22" s="174"/>
      <c r="X22" s="198"/>
      <c r="Y22" s="198"/>
      <c r="Z22" s="198"/>
    </row>
    <row r="23" spans="1:26" ht="13.5" customHeight="1">
      <c r="B23" s="176">
        <f t="shared" si="0"/>
        <v>11</v>
      </c>
      <c r="C23" s="180" t="s">
        <v>226</v>
      </c>
      <c r="D23" s="166"/>
      <c r="E23" s="167"/>
      <c r="F23" s="180" t="s">
        <v>226</v>
      </c>
      <c r="G23" s="181"/>
      <c r="H23" s="181"/>
      <c r="I23" s="182"/>
      <c r="J23" s="176" t="s">
        <v>136</v>
      </c>
      <c r="K23" s="172">
        <v>32</v>
      </c>
      <c r="L23" s="168"/>
      <c r="M23" s="169"/>
      <c r="N23" s="170"/>
      <c r="O23" s="171"/>
      <c r="P23" s="171"/>
      <c r="Q23" s="170"/>
      <c r="R23" s="170"/>
      <c r="S23" s="170"/>
      <c r="T23" s="170"/>
      <c r="U23" s="173"/>
      <c r="V23" s="174"/>
      <c r="W23" s="174"/>
      <c r="X23" s="197"/>
      <c r="Y23" s="198"/>
      <c r="Z23" s="198"/>
    </row>
    <row r="24" spans="1:26" ht="13.5" customHeight="1">
      <c r="B24" s="176">
        <f t="shared" si="0"/>
        <v>12</v>
      </c>
      <c r="C24" s="180" t="s">
        <v>235</v>
      </c>
      <c r="D24" s="166"/>
      <c r="E24" s="167"/>
      <c r="F24" s="180" t="s">
        <v>227</v>
      </c>
      <c r="G24" s="181"/>
      <c r="H24" s="181"/>
      <c r="I24" s="182"/>
      <c r="J24" s="176" t="s">
        <v>138</v>
      </c>
      <c r="K24" s="172"/>
      <c r="L24" s="168"/>
      <c r="M24" s="169"/>
      <c r="N24" s="170"/>
      <c r="O24" s="171"/>
      <c r="P24" s="171"/>
      <c r="Q24" s="170"/>
      <c r="R24" s="170"/>
      <c r="S24" s="170"/>
      <c r="T24" s="170"/>
      <c r="U24" s="173"/>
      <c r="V24" s="174"/>
      <c r="W24" s="174"/>
      <c r="X24" s="197"/>
      <c r="Y24" s="198"/>
      <c r="Z24" s="198"/>
    </row>
    <row r="25" spans="1:26" ht="13.5" customHeight="1">
      <c r="A25" s="24"/>
      <c r="B25" s="176">
        <f t="shared" si="0"/>
        <v>13</v>
      </c>
      <c r="C25" s="180" t="s">
        <v>236</v>
      </c>
      <c r="D25" s="166"/>
      <c r="E25" s="167"/>
      <c r="F25" s="180" t="s">
        <v>161</v>
      </c>
      <c r="G25" s="181"/>
      <c r="H25" s="181"/>
      <c r="I25" s="182"/>
      <c r="J25" s="176" t="s">
        <v>138</v>
      </c>
      <c r="K25" s="172"/>
      <c r="L25" s="168"/>
      <c r="M25" s="169"/>
      <c r="N25" s="170"/>
      <c r="O25" s="171"/>
      <c r="P25" s="171"/>
      <c r="Q25" s="170"/>
      <c r="R25" s="170"/>
      <c r="S25" s="170"/>
      <c r="T25" s="170"/>
      <c r="U25" s="173"/>
      <c r="V25" s="174" t="s">
        <v>103</v>
      </c>
      <c r="W25" s="174"/>
      <c r="X25" s="197"/>
      <c r="Y25" s="198"/>
      <c r="Z25" s="198"/>
    </row>
    <row r="26" spans="1:26" ht="13.5">
      <c r="A26" s="24"/>
      <c r="B26" s="176">
        <f t="shared" si="0"/>
        <v>14</v>
      </c>
      <c r="C26" s="180" t="s">
        <v>101</v>
      </c>
      <c r="D26" s="166"/>
      <c r="E26" s="167"/>
      <c r="F26" s="180" t="s">
        <v>162</v>
      </c>
      <c r="G26" s="181"/>
      <c r="H26" s="181"/>
      <c r="I26" s="182"/>
      <c r="J26" s="176" t="s">
        <v>138</v>
      </c>
      <c r="K26" s="172">
        <v>300</v>
      </c>
      <c r="L26" s="168"/>
      <c r="M26" s="169"/>
      <c r="N26" s="170"/>
      <c r="O26" s="171"/>
      <c r="P26" s="171"/>
      <c r="Q26" s="170"/>
      <c r="R26" s="170"/>
      <c r="S26" s="170"/>
      <c r="T26" s="170"/>
      <c r="U26" s="173"/>
      <c r="V26" s="174" t="s">
        <v>103</v>
      </c>
      <c r="W26" s="174"/>
      <c r="X26" s="215"/>
      <c r="Y26" s="218"/>
      <c r="Z26" s="219"/>
    </row>
    <row r="27" spans="1:26" ht="13.5" customHeight="1">
      <c r="A27" s="24"/>
      <c r="B27" s="176"/>
      <c r="C27" s="180"/>
      <c r="D27" s="166"/>
      <c r="E27" s="167"/>
      <c r="F27" s="180"/>
      <c r="G27" s="181"/>
      <c r="H27" s="181"/>
      <c r="I27" s="182"/>
      <c r="J27" s="176"/>
      <c r="K27" s="172"/>
      <c r="L27" s="168"/>
      <c r="M27" s="169"/>
      <c r="N27" s="170"/>
      <c r="O27" s="171"/>
      <c r="P27" s="171"/>
      <c r="Q27" s="170"/>
      <c r="R27" s="170"/>
      <c r="S27" s="170"/>
      <c r="T27" s="170"/>
      <c r="U27" s="173"/>
      <c r="V27" s="174"/>
      <c r="W27" s="174"/>
      <c r="X27" s="198"/>
      <c r="Y27" s="198"/>
      <c r="Z27" s="198"/>
    </row>
    <row r="28" spans="1:26" ht="13.5" customHeight="1">
      <c r="A28" s="24"/>
      <c r="B28" s="176"/>
      <c r="C28" s="180"/>
      <c r="D28" s="166"/>
      <c r="E28" s="167"/>
      <c r="F28" s="180"/>
      <c r="G28" s="181"/>
      <c r="H28" s="181"/>
      <c r="I28" s="182"/>
      <c r="J28" s="176"/>
      <c r="K28" s="172"/>
      <c r="L28" s="168"/>
      <c r="M28" s="169"/>
      <c r="N28" s="170"/>
      <c r="O28" s="171"/>
      <c r="P28" s="171"/>
      <c r="Q28" s="170"/>
      <c r="R28" s="170"/>
      <c r="S28" s="170"/>
      <c r="T28" s="170"/>
      <c r="U28" s="173"/>
      <c r="V28" s="174"/>
      <c r="W28" s="174"/>
      <c r="X28" s="198"/>
      <c r="Y28" s="198"/>
      <c r="Z28" s="198"/>
    </row>
    <row r="29" spans="1:26" ht="13.5" customHeight="1">
      <c r="A29" s="26"/>
      <c r="B29" s="176"/>
      <c r="C29" s="180"/>
      <c r="D29" s="166"/>
      <c r="E29" s="167"/>
      <c r="F29" s="180"/>
      <c r="G29" s="181"/>
      <c r="H29" s="181"/>
      <c r="I29" s="182"/>
      <c r="J29" s="176"/>
      <c r="K29" s="172"/>
      <c r="L29" s="168"/>
      <c r="M29" s="169"/>
      <c r="N29" s="170"/>
      <c r="O29" s="171"/>
      <c r="P29" s="171"/>
      <c r="Q29" s="170"/>
      <c r="R29" s="170"/>
      <c r="S29" s="170"/>
      <c r="T29" s="170"/>
      <c r="U29" s="173"/>
      <c r="V29" s="174"/>
      <c r="W29" s="174"/>
      <c r="X29" s="198"/>
      <c r="Y29" s="198"/>
      <c r="Z29" s="198"/>
    </row>
    <row r="30" spans="1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1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1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  <row r="76" spans="2:26"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26"/>
      <c r="Y76" s="26"/>
      <c r="Z76" s="24"/>
    </row>
    <row r="77" spans="2:26">
      <c r="B77" s="25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26"/>
      <c r="Y77" s="26"/>
      <c r="Z77" s="24"/>
    </row>
    <row r="78" spans="2:26"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26"/>
      <c r="Y78" s="26"/>
      <c r="Z78" s="24"/>
    </row>
    <row r="79" spans="2:26">
      <c r="B79" s="25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26"/>
      <c r="Y79" s="26"/>
      <c r="Z79" s="24"/>
    </row>
  </sheetData>
  <sheetProtection selectLockedCells="1" selectUnlockedCells="1"/>
  <mergeCells count="64">
    <mergeCell ref="X27:Z27"/>
    <mergeCell ref="X28:Z28"/>
    <mergeCell ref="X29:Z29"/>
    <mergeCell ref="C15:E15"/>
    <mergeCell ref="X18:Z18"/>
    <mergeCell ref="X15:Z15"/>
    <mergeCell ref="X17:Z17"/>
    <mergeCell ref="X24:Z24"/>
    <mergeCell ref="X25:Z25"/>
    <mergeCell ref="X26:Z26"/>
    <mergeCell ref="X16:Z16"/>
    <mergeCell ref="X19:Z19"/>
    <mergeCell ref="X20:Z20"/>
    <mergeCell ref="X21:Z21"/>
    <mergeCell ref="X22:Z22"/>
    <mergeCell ref="X23:Z23"/>
    <mergeCell ref="V11:V12"/>
    <mergeCell ref="W11:W12"/>
    <mergeCell ref="X11:Z12"/>
    <mergeCell ref="X13:Z13"/>
    <mergeCell ref="C14:E14"/>
    <mergeCell ref="X14:Z14"/>
    <mergeCell ref="M11:U11"/>
    <mergeCell ref="B11:B12"/>
    <mergeCell ref="C11:E12"/>
    <mergeCell ref="F11:I12"/>
    <mergeCell ref="J11:J12"/>
    <mergeCell ref="K11:L12"/>
    <mergeCell ref="B8:D8"/>
    <mergeCell ref="E8:L8"/>
    <mergeCell ref="M8:P10"/>
    <mergeCell ref="Q8:Z8"/>
    <mergeCell ref="B9:D9"/>
    <mergeCell ref="E9:L9"/>
    <mergeCell ref="Q9:Z9"/>
    <mergeCell ref="B10:D10"/>
    <mergeCell ref="E10:L10"/>
    <mergeCell ref="Q10:Z10"/>
    <mergeCell ref="B6:D6"/>
    <mergeCell ref="E6:L6"/>
    <mergeCell ref="M6:P6"/>
    <mergeCell ref="Q6:Z6"/>
    <mergeCell ref="B7:D7"/>
    <mergeCell ref="E7:L7"/>
    <mergeCell ref="M7:P7"/>
    <mergeCell ref="Q7:U7"/>
    <mergeCell ref="V7:Y7"/>
    <mergeCell ref="X3:Z5"/>
    <mergeCell ref="K4:N4"/>
    <mergeCell ref="O4:S4"/>
    <mergeCell ref="T4:W4"/>
    <mergeCell ref="K5:N5"/>
    <mergeCell ref="O5:S5"/>
    <mergeCell ref="T5:W5"/>
    <mergeCell ref="B2:D2"/>
    <mergeCell ref="F2:H2"/>
    <mergeCell ref="K2:S2"/>
    <mergeCell ref="T2:W2"/>
    <mergeCell ref="X2:Z2"/>
    <mergeCell ref="B3:E5"/>
    <mergeCell ref="F3:J5"/>
    <mergeCell ref="K3:N3"/>
    <mergeCell ref="O3:S3"/>
    <mergeCell ref="T3:W3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C16A3-651A-44F8-B145-D6F18D7295C0}">
  <sheetPr codeName="Sheet270"/>
  <dimension ref="A1:Z75"/>
  <sheetViews>
    <sheetView view="pageBreakPreview" zoomScaleSheetLayoutView="100" workbookViewId="0">
      <selection activeCell="V13" sqref="V13:V15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 t="s">
        <v>240</v>
      </c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 t="s">
        <v>241</v>
      </c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SUM(K13:L225)+COUNTIF(J13:J225,"decimal")*17+COUNTIF(J13:J225,"text")*200-SUMIF(J13:J225,"decimal",K13:K225)-SUMIF(J13:J225,"decimal",L13:L225)-SUMIF(J13:J225,"text",K13:K225)-SUMIF(J13:J225,"text",L13:L225)</f>
        <v>89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76">
        <f t="shared" ref="B13:B17" si="0">ROW()-12</f>
        <v>1</v>
      </c>
      <c r="C13" s="177" t="s">
        <v>245</v>
      </c>
      <c r="D13" s="178"/>
      <c r="E13" s="179"/>
      <c r="F13" s="180" t="s">
        <v>242</v>
      </c>
      <c r="G13" s="181"/>
      <c r="H13" s="181"/>
      <c r="I13" s="182"/>
      <c r="J13" s="176" t="s">
        <v>135</v>
      </c>
      <c r="K13" s="32"/>
      <c r="L13" s="168"/>
      <c r="M13" s="169">
        <v>1</v>
      </c>
      <c r="N13" s="170"/>
      <c r="O13" s="171"/>
      <c r="P13" s="171"/>
      <c r="Q13" s="170"/>
      <c r="R13" s="170"/>
      <c r="S13" s="170"/>
      <c r="T13" s="170"/>
      <c r="U13" s="173"/>
      <c r="V13" s="174" t="s">
        <v>103</v>
      </c>
      <c r="W13" s="174"/>
      <c r="X13" s="198"/>
      <c r="Y13" s="198"/>
      <c r="Z13" s="198"/>
    </row>
    <row r="14" spans="1:26" ht="13.5" customHeight="1">
      <c r="B14" s="176">
        <f t="shared" si="0"/>
        <v>2</v>
      </c>
      <c r="C14" s="177" t="s">
        <v>229</v>
      </c>
      <c r="D14" s="178"/>
      <c r="E14" s="179"/>
      <c r="F14" s="180" t="s">
        <v>222</v>
      </c>
      <c r="G14" s="181"/>
      <c r="H14" s="181"/>
      <c r="I14" s="182"/>
      <c r="J14" s="176" t="s">
        <v>136</v>
      </c>
      <c r="K14" s="32">
        <v>20</v>
      </c>
      <c r="L14" s="168"/>
      <c r="M14" s="169"/>
      <c r="N14" s="170">
        <v>1</v>
      </c>
      <c r="O14" s="171"/>
      <c r="P14" s="171"/>
      <c r="Q14" s="170"/>
      <c r="R14" s="170"/>
      <c r="S14" s="170"/>
      <c r="T14" s="170"/>
      <c r="U14" s="173"/>
      <c r="V14" s="174" t="s">
        <v>103</v>
      </c>
      <c r="W14" s="174"/>
      <c r="X14" s="198"/>
      <c r="Y14" s="198"/>
      <c r="Z14" s="198"/>
    </row>
    <row r="15" spans="1:26" ht="13.5" customHeight="1">
      <c r="B15" s="176">
        <f t="shared" si="0"/>
        <v>3</v>
      </c>
      <c r="C15" s="177" t="s">
        <v>246</v>
      </c>
      <c r="D15" s="178"/>
      <c r="E15" s="179"/>
      <c r="F15" s="180" t="s">
        <v>243</v>
      </c>
      <c r="G15" s="181"/>
      <c r="H15" s="181"/>
      <c r="I15" s="182"/>
      <c r="J15" s="176" t="s">
        <v>136</v>
      </c>
      <c r="K15" s="32">
        <v>20</v>
      </c>
      <c r="L15" s="168"/>
      <c r="M15" s="169"/>
      <c r="N15" s="170">
        <v>2</v>
      </c>
      <c r="O15" s="171"/>
      <c r="P15" s="171"/>
      <c r="Q15" s="170"/>
      <c r="R15" s="170"/>
      <c r="S15" s="170"/>
      <c r="T15" s="170"/>
      <c r="U15" s="173"/>
      <c r="V15" s="174" t="s">
        <v>103</v>
      </c>
      <c r="W15" s="174"/>
      <c r="X15" s="197"/>
      <c r="Y15" s="198"/>
      <c r="Z15" s="198"/>
    </row>
    <row r="16" spans="1:26" ht="13.5" customHeight="1">
      <c r="B16" s="176">
        <f t="shared" si="0"/>
        <v>4</v>
      </c>
      <c r="C16" s="180" t="s">
        <v>247</v>
      </c>
      <c r="D16" s="166"/>
      <c r="E16" s="167"/>
      <c r="F16" s="180" t="s">
        <v>226</v>
      </c>
      <c r="G16" s="181"/>
      <c r="H16" s="181"/>
      <c r="I16" s="182"/>
      <c r="J16" s="175" t="s">
        <v>136</v>
      </c>
      <c r="K16" s="172">
        <v>32</v>
      </c>
      <c r="L16" s="168"/>
      <c r="M16" s="169"/>
      <c r="N16" s="170"/>
      <c r="O16" s="171"/>
      <c r="P16" s="171"/>
      <c r="Q16" s="170"/>
      <c r="R16" s="170"/>
      <c r="S16" s="170"/>
      <c r="T16" s="170"/>
      <c r="U16" s="173"/>
      <c r="V16" s="174"/>
      <c r="W16" s="174"/>
      <c r="X16" s="198"/>
      <c r="Y16" s="198"/>
      <c r="Z16" s="198"/>
    </row>
    <row r="17" spans="1:26" ht="13.5" customHeight="1">
      <c r="A17" s="24"/>
      <c r="B17" s="176">
        <f t="shared" si="0"/>
        <v>5</v>
      </c>
      <c r="C17" s="180"/>
      <c r="D17" s="166"/>
      <c r="E17" s="167"/>
      <c r="F17" s="180" t="s">
        <v>244</v>
      </c>
      <c r="G17" s="181"/>
      <c r="H17" s="181"/>
      <c r="I17" s="182"/>
      <c r="J17" s="175" t="s">
        <v>136</v>
      </c>
      <c r="K17" s="172">
        <v>17</v>
      </c>
      <c r="L17" s="168"/>
      <c r="M17" s="169"/>
      <c r="N17" s="170"/>
      <c r="O17" s="171"/>
      <c r="P17" s="171"/>
      <c r="Q17" s="170"/>
      <c r="R17" s="170"/>
      <c r="S17" s="170"/>
      <c r="T17" s="170"/>
      <c r="U17" s="173"/>
      <c r="V17" s="174"/>
      <c r="W17" s="174"/>
      <c r="X17" s="198"/>
      <c r="Y17" s="198"/>
      <c r="Z17" s="198"/>
    </row>
    <row r="18" spans="1:26" ht="13.5" customHeight="1">
      <c r="B18" s="176"/>
      <c r="C18" s="180"/>
      <c r="D18" s="166"/>
      <c r="E18" s="167"/>
      <c r="F18" s="180"/>
      <c r="G18" s="181"/>
      <c r="H18" s="181"/>
      <c r="I18" s="182"/>
      <c r="J18" s="175"/>
      <c r="K18" s="172"/>
      <c r="L18" s="168"/>
      <c r="M18" s="169"/>
      <c r="N18" s="170"/>
      <c r="O18" s="171"/>
      <c r="P18" s="171"/>
      <c r="Q18" s="170"/>
      <c r="R18" s="170"/>
      <c r="S18" s="170"/>
      <c r="T18" s="170"/>
      <c r="U18" s="173"/>
      <c r="V18" s="174"/>
      <c r="W18" s="174"/>
      <c r="X18" s="198"/>
      <c r="Y18" s="198"/>
      <c r="Z18" s="198"/>
    </row>
    <row r="19" spans="1:26" ht="13.5" customHeight="1">
      <c r="A19" s="24"/>
      <c r="B19" s="176"/>
      <c r="C19" s="180"/>
      <c r="D19" s="166"/>
      <c r="E19" s="167"/>
      <c r="F19" s="180"/>
      <c r="G19" s="181"/>
      <c r="H19" s="181"/>
      <c r="I19" s="182"/>
      <c r="J19" s="175"/>
      <c r="K19" s="172"/>
      <c r="L19" s="168"/>
      <c r="M19" s="169"/>
      <c r="N19" s="170"/>
      <c r="O19" s="171"/>
      <c r="P19" s="171"/>
      <c r="Q19" s="170"/>
      <c r="R19" s="170"/>
      <c r="S19" s="170"/>
      <c r="T19" s="170"/>
      <c r="U19" s="173"/>
      <c r="V19" s="174"/>
      <c r="W19" s="174"/>
      <c r="X19" s="198"/>
      <c r="Y19" s="198"/>
      <c r="Z19" s="198"/>
    </row>
    <row r="20" spans="1:26"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26"/>
      <c r="Y20" s="26"/>
      <c r="Z20" s="24"/>
    </row>
    <row r="21" spans="1:26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26"/>
      <c r="Y21" s="26"/>
      <c r="Z21" s="24"/>
    </row>
    <row r="22" spans="1:26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26"/>
      <c r="Y22" s="26"/>
      <c r="Z22" s="24"/>
    </row>
    <row r="23" spans="1:26"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26"/>
      <c r="Y23" s="26"/>
      <c r="Z23" s="24"/>
    </row>
    <row r="24" spans="1:26"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26"/>
      <c r="Y24" s="26"/>
      <c r="Z24" s="24"/>
    </row>
    <row r="25" spans="1:26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26"/>
      <c r="Y25" s="26"/>
      <c r="Z25" s="24"/>
    </row>
    <row r="26" spans="1:26"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26"/>
      <c r="Y26" s="26"/>
      <c r="Z26" s="24"/>
    </row>
    <row r="27" spans="1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1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1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1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1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1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</sheetData>
  <sheetProtection selectLockedCells="1" selectUnlockedCells="1"/>
  <mergeCells count="52">
    <mergeCell ref="X16:Z16"/>
    <mergeCell ref="X17:Z17"/>
    <mergeCell ref="X18:Z18"/>
    <mergeCell ref="X19:Z19"/>
    <mergeCell ref="V11:V12"/>
    <mergeCell ref="W11:W12"/>
    <mergeCell ref="X11:Z12"/>
    <mergeCell ref="X13:Z13"/>
    <mergeCell ref="X14:Z14"/>
    <mergeCell ref="X15:Z15"/>
    <mergeCell ref="M11:U11"/>
    <mergeCell ref="B8:D8"/>
    <mergeCell ref="E8:L8"/>
    <mergeCell ref="M8:P10"/>
    <mergeCell ref="Q8:Z8"/>
    <mergeCell ref="B9:D9"/>
    <mergeCell ref="E9:L9"/>
    <mergeCell ref="Q9:Z9"/>
    <mergeCell ref="B10:D10"/>
    <mergeCell ref="E10:L10"/>
    <mergeCell ref="Q10:Z10"/>
    <mergeCell ref="B11:B12"/>
    <mergeCell ref="C11:E12"/>
    <mergeCell ref="F11:I12"/>
    <mergeCell ref="J11:J12"/>
    <mergeCell ref="K11:L12"/>
    <mergeCell ref="B6:D6"/>
    <mergeCell ref="E6:L6"/>
    <mergeCell ref="M6:P6"/>
    <mergeCell ref="Q6:Z6"/>
    <mergeCell ref="B7:D7"/>
    <mergeCell ref="E7:L7"/>
    <mergeCell ref="M7:P7"/>
    <mergeCell ref="Q7:U7"/>
    <mergeCell ref="V7:Y7"/>
    <mergeCell ref="X3:Z5"/>
    <mergeCell ref="K4:N4"/>
    <mergeCell ref="O4:S4"/>
    <mergeCell ref="T4:W4"/>
    <mergeCell ref="K5:N5"/>
    <mergeCell ref="O5:S5"/>
    <mergeCell ref="T5:W5"/>
    <mergeCell ref="B2:D2"/>
    <mergeCell ref="F2:H2"/>
    <mergeCell ref="K2:S2"/>
    <mergeCell ref="T2:W2"/>
    <mergeCell ref="X2:Z2"/>
    <mergeCell ref="B3:E5"/>
    <mergeCell ref="F3:J5"/>
    <mergeCell ref="K3:N3"/>
    <mergeCell ref="O3:S3"/>
    <mergeCell ref="T3:W3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6E0E2-7699-4E73-9BB0-5DCCFF35F1FF}">
  <sheetPr codeName="Sheet271"/>
  <dimension ref="A1:Z80"/>
  <sheetViews>
    <sheetView view="pageBreakPreview" zoomScaleSheetLayoutView="100" workbookViewId="0">
      <selection activeCell="X22" sqref="X22:Z22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19.875" style="12" customWidth="1"/>
    <col min="11" max="11" width="4.125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 t="s">
        <v>249</v>
      </c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 t="s">
        <v>250</v>
      </c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SUM(K13:L230)+COUNTIF(J13:J230,"decimal")*17+COUNTIF(J13:J230,"text")*200-SUMIF(J13:J230,"decimal",K13:K230)-SUMIF(J13:J230,"decimal",L13:L230)-SUMIF(J13:J230,"text",K13:K230)-SUMIF(J13:J230,"text",L13:L230)</f>
        <v>1789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76">
        <f t="shared" ref="B13:B26" si="0">ROW()-12</f>
        <v>1</v>
      </c>
      <c r="C13" s="177" t="s">
        <v>260</v>
      </c>
      <c r="D13" s="178"/>
      <c r="E13" s="179"/>
      <c r="F13" s="180" t="s">
        <v>251</v>
      </c>
      <c r="G13" s="181"/>
      <c r="H13" s="181"/>
      <c r="I13" s="182"/>
      <c r="J13" s="176" t="s">
        <v>105</v>
      </c>
      <c r="K13" s="32"/>
      <c r="L13" s="168"/>
      <c r="M13" s="169">
        <v>1</v>
      </c>
      <c r="N13" s="170"/>
      <c r="O13" s="171"/>
      <c r="P13" s="171"/>
      <c r="Q13" s="170"/>
      <c r="R13" s="170"/>
      <c r="S13" s="170"/>
      <c r="T13" s="170"/>
      <c r="U13" s="173"/>
      <c r="V13" s="174" t="s">
        <v>103</v>
      </c>
      <c r="W13" s="174"/>
      <c r="X13" s="198"/>
      <c r="Y13" s="198"/>
      <c r="Z13" s="198"/>
    </row>
    <row r="14" spans="1:26" ht="13.5" customHeight="1">
      <c r="B14" s="176">
        <f t="shared" si="0"/>
        <v>2</v>
      </c>
      <c r="C14" s="177" t="s">
        <v>261</v>
      </c>
      <c r="D14" s="178"/>
      <c r="E14" s="179"/>
      <c r="F14" s="180" t="s">
        <v>252</v>
      </c>
      <c r="G14" s="181"/>
      <c r="H14" s="181"/>
      <c r="I14" s="182"/>
      <c r="J14" s="176" t="s">
        <v>136</v>
      </c>
      <c r="K14" s="32">
        <v>20</v>
      </c>
      <c r="L14" s="168"/>
      <c r="M14" s="169"/>
      <c r="N14" s="170">
        <v>1</v>
      </c>
      <c r="O14" s="171"/>
      <c r="P14" s="171"/>
      <c r="Q14" s="170"/>
      <c r="R14" s="170"/>
      <c r="S14" s="170"/>
      <c r="T14" s="170"/>
      <c r="U14" s="173"/>
      <c r="V14" s="174" t="s">
        <v>103</v>
      </c>
      <c r="W14" s="174"/>
      <c r="X14" s="198"/>
      <c r="Y14" s="198"/>
      <c r="Z14" s="198"/>
    </row>
    <row r="15" spans="1:26" ht="13.5" customHeight="1">
      <c r="B15" s="176">
        <f t="shared" si="0"/>
        <v>3</v>
      </c>
      <c r="C15" s="177" t="s">
        <v>262</v>
      </c>
      <c r="D15" s="178"/>
      <c r="E15" s="179"/>
      <c r="F15" s="180" t="s">
        <v>253</v>
      </c>
      <c r="G15" s="181"/>
      <c r="H15" s="181"/>
      <c r="I15" s="182"/>
      <c r="J15" s="176" t="s">
        <v>166</v>
      </c>
      <c r="K15" s="32">
        <v>100</v>
      </c>
      <c r="L15" s="168"/>
      <c r="M15" s="169"/>
      <c r="N15" s="170"/>
      <c r="O15" s="171">
        <v>1</v>
      </c>
      <c r="P15" s="171"/>
      <c r="Q15" s="170"/>
      <c r="R15" s="170"/>
      <c r="S15" s="170"/>
      <c r="T15" s="170"/>
      <c r="U15" s="173"/>
      <c r="V15" s="174" t="s">
        <v>103</v>
      </c>
      <c r="W15" s="174"/>
      <c r="X15" s="197"/>
      <c r="Y15" s="198"/>
      <c r="Z15" s="198"/>
    </row>
    <row r="16" spans="1:26" ht="13.5" customHeight="1">
      <c r="B16" s="176">
        <f t="shared" si="0"/>
        <v>4</v>
      </c>
      <c r="C16" s="180" t="s">
        <v>263</v>
      </c>
      <c r="D16" s="166"/>
      <c r="E16" s="167"/>
      <c r="F16" s="180" t="s">
        <v>254</v>
      </c>
      <c r="G16" s="181"/>
      <c r="H16" s="181"/>
      <c r="I16" s="182"/>
      <c r="J16" s="175" t="s">
        <v>166</v>
      </c>
      <c r="K16" s="172">
        <v>300</v>
      </c>
      <c r="L16" s="168"/>
      <c r="M16" s="169"/>
      <c r="N16" s="170"/>
      <c r="O16" s="171"/>
      <c r="P16" s="171"/>
      <c r="Q16" s="170"/>
      <c r="R16" s="170"/>
      <c r="S16" s="170"/>
      <c r="T16" s="170"/>
      <c r="U16" s="173"/>
      <c r="V16" s="174" t="s">
        <v>103</v>
      </c>
      <c r="W16" s="174"/>
      <c r="X16" s="198"/>
      <c r="Y16" s="198"/>
      <c r="Z16" s="198"/>
    </row>
    <row r="17" spans="1:26" ht="13.5" customHeight="1">
      <c r="A17" s="24"/>
      <c r="B17" s="176">
        <f t="shared" si="0"/>
        <v>5</v>
      </c>
      <c r="C17" s="180" t="s">
        <v>264</v>
      </c>
      <c r="D17" s="166"/>
      <c r="E17" s="167"/>
      <c r="F17" s="180" t="s">
        <v>255</v>
      </c>
      <c r="G17" s="181"/>
      <c r="H17" s="181"/>
      <c r="I17" s="182"/>
      <c r="J17" s="175" t="s">
        <v>136</v>
      </c>
      <c r="K17" s="172">
        <v>17</v>
      </c>
      <c r="L17" s="168"/>
      <c r="M17" s="169"/>
      <c r="N17" s="170"/>
      <c r="O17" s="171"/>
      <c r="P17" s="171"/>
      <c r="Q17" s="170"/>
      <c r="R17" s="170"/>
      <c r="S17" s="170"/>
      <c r="T17" s="170"/>
      <c r="U17" s="173"/>
      <c r="V17" s="174" t="s">
        <v>103</v>
      </c>
      <c r="W17" s="174"/>
      <c r="X17" s="198"/>
      <c r="Y17" s="198"/>
      <c r="Z17" s="198"/>
    </row>
    <row r="18" spans="1:26" ht="13.5" customHeight="1">
      <c r="B18" s="176">
        <f t="shared" si="0"/>
        <v>6</v>
      </c>
      <c r="C18" s="180" t="s">
        <v>265</v>
      </c>
      <c r="D18" s="166"/>
      <c r="E18" s="167"/>
      <c r="F18" s="180" t="s">
        <v>256</v>
      </c>
      <c r="G18" s="181"/>
      <c r="H18" s="181"/>
      <c r="I18" s="182"/>
      <c r="J18" s="175" t="s">
        <v>166</v>
      </c>
      <c r="K18" s="172">
        <v>1000</v>
      </c>
      <c r="L18" s="168"/>
      <c r="M18" s="169"/>
      <c r="N18" s="170"/>
      <c r="O18" s="171"/>
      <c r="P18" s="171"/>
      <c r="Q18" s="170"/>
      <c r="R18" s="170"/>
      <c r="S18" s="170"/>
      <c r="T18" s="170"/>
      <c r="U18" s="173"/>
      <c r="V18" s="174" t="s">
        <v>103</v>
      </c>
      <c r="W18" s="174"/>
      <c r="X18" s="198"/>
      <c r="Y18" s="198"/>
      <c r="Z18" s="198"/>
    </row>
    <row r="19" spans="1:26" ht="13.5" customHeight="1">
      <c r="B19" s="176">
        <f t="shared" si="0"/>
        <v>7</v>
      </c>
      <c r="C19" s="180" t="s">
        <v>269</v>
      </c>
      <c r="D19" s="166"/>
      <c r="E19" s="167"/>
      <c r="F19" s="180" t="s">
        <v>270</v>
      </c>
      <c r="G19" s="181"/>
      <c r="H19" s="181"/>
      <c r="I19" s="182"/>
      <c r="J19" s="175" t="s">
        <v>136</v>
      </c>
      <c r="K19" s="172">
        <v>6</v>
      </c>
      <c r="L19" s="168"/>
      <c r="M19" s="169"/>
      <c r="N19" s="170"/>
      <c r="O19" s="171"/>
      <c r="P19" s="171"/>
      <c r="Q19" s="170"/>
      <c r="R19" s="170"/>
      <c r="S19" s="170"/>
      <c r="T19" s="170"/>
      <c r="U19" s="173"/>
      <c r="V19" s="174" t="s">
        <v>103</v>
      </c>
      <c r="W19" s="174"/>
      <c r="X19" s="198" t="s">
        <v>272</v>
      </c>
      <c r="Y19" s="198"/>
      <c r="Z19" s="198"/>
    </row>
    <row r="20" spans="1:26" ht="13.5" customHeight="1">
      <c r="B20" s="176">
        <f t="shared" si="0"/>
        <v>8</v>
      </c>
      <c r="C20" s="180" t="s">
        <v>98</v>
      </c>
      <c r="D20" s="166"/>
      <c r="E20" s="167"/>
      <c r="F20" s="180" t="s">
        <v>271</v>
      </c>
      <c r="G20" s="181"/>
      <c r="H20" s="181"/>
      <c r="I20" s="182"/>
      <c r="J20" s="175" t="s">
        <v>136</v>
      </c>
      <c r="K20" s="172">
        <v>6</v>
      </c>
      <c r="L20" s="168"/>
      <c r="M20" s="169"/>
      <c r="N20" s="170"/>
      <c r="O20" s="171"/>
      <c r="P20" s="171"/>
      <c r="Q20" s="170"/>
      <c r="R20" s="170"/>
      <c r="S20" s="170"/>
      <c r="T20" s="170"/>
      <c r="U20" s="173"/>
      <c r="V20" s="174" t="s">
        <v>103</v>
      </c>
      <c r="W20" s="174"/>
      <c r="X20" s="198" t="s">
        <v>273</v>
      </c>
      <c r="Y20" s="198"/>
      <c r="Z20" s="198"/>
    </row>
    <row r="21" spans="1:26" ht="13.5" customHeight="1">
      <c r="A21" s="24"/>
      <c r="B21" s="176">
        <f t="shared" si="0"/>
        <v>9</v>
      </c>
      <c r="C21" s="180" t="s">
        <v>266</v>
      </c>
      <c r="D21" s="166"/>
      <c r="E21" s="167"/>
      <c r="F21" s="180" t="s">
        <v>257</v>
      </c>
      <c r="G21" s="181"/>
      <c r="H21" s="181"/>
      <c r="I21" s="182"/>
      <c r="J21" s="175" t="s">
        <v>135</v>
      </c>
      <c r="K21" s="172"/>
      <c r="L21" s="168"/>
      <c r="M21" s="169"/>
      <c r="N21" s="170"/>
      <c r="O21" s="171"/>
      <c r="P21" s="171"/>
      <c r="Q21" s="170"/>
      <c r="R21" s="170"/>
      <c r="S21" s="170"/>
      <c r="T21" s="170"/>
      <c r="U21" s="173"/>
      <c r="V21" s="174" t="s">
        <v>103</v>
      </c>
      <c r="W21" s="174"/>
      <c r="X21" s="198"/>
      <c r="Y21" s="198"/>
      <c r="Z21" s="198"/>
    </row>
    <row r="22" spans="1:26" ht="13.5" customHeight="1">
      <c r="A22" s="26"/>
      <c r="B22" s="184">
        <v>10</v>
      </c>
      <c r="C22" s="180" t="s">
        <v>300</v>
      </c>
      <c r="D22" s="166"/>
      <c r="E22" s="167"/>
      <c r="F22" s="180" t="s">
        <v>301</v>
      </c>
      <c r="G22" s="181"/>
      <c r="H22" s="181"/>
      <c r="I22" s="182"/>
      <c r="J22" s="183" t="s">
        <v>166</v>
      </c>
      <c r="K22" s="172">
        <v>300</v>
      </c>
      <c r="L22" s="168"/>
      <c r="M22" s="169"/>
      <c r="N22" s="170"/>
      <c r="O22" s="171"/>
      <c r="P22" s="171"/>
      <c r="Q22" s="170"/>
      <c r="R22" s="170"/>
      <c r="S22" s="170"/>
      <c r="T22" s="170"/>
      <c r="U22" s="173"/>
      <c r="V22" s="174" t="s">
        <v>302</v>
      </c>
      <c r="W22" s="174"/>
      <c r="X22" s="198"/>
      <c r="Y22" s="198"/>
      <c r="Z22" s="198"/>
    </row>
    <row r="23" spans="1:26" ht="13.5" customHeight="1">
      <c r="A23" s="26"/>
      <c r="B23" s="176">
        <f t="shared" si="0"/>
        <v>11</v>
      </c>
      <c r="C23" s="180" t="s">
        <v>267</v>
      </c>
      <c r="D23" s="166"/>
      <c r="E23" s="167"/>
      <c r="F23" s="180" t="s">
        <v>258</v>
      </c>
      <c r="G23" s="181"/>
      <c r="H23" s="181"/>
      <c r="I23" s="182"/>
      <c r="J23" s="175" t="s">
        <v>136</v>
      </c>
      <c r="K23" s="172">
        <v>20</v>
      </c>
      <c r="L23" s="168"/>
      <c r="M23" s="169"/>
      <c r="N23" s="170"/>
      <c r="O23" s="171"/>
      <c r="P23" s="171"/>
      <c r="Q23" s="170"/>
      <c r="R23" s="170"/>
      <c r="S23" s="170"/>
      <c r="T23" s="170"/>
      <c r="U23" s="173"/>
      <c r="V23" s="174" t="s">
        <v>103</v>
      </c>
      <c r="W23" s="174"/>
      <c r="X23" s="198"/>
      <c r="Y23" s="198"/>
      <c r="Z23" s="198"/>
    </row>
    <row r="24" spans="1:26" ht="13.5">
      <c r="B24" s="176">
        <f t="shared" si="0"/>
        <v>12</v>
      </c>
      <c r="C24" s="180" t="s">
        <v>268</v>
      </c>
      <c r="D24" s="166"/>
      <c r="E24" s="167"/>
      <c r="F24" s="180" t="s">
        <v>161</v>
      </c>
      <c r="G24" s="181"/>
      <c r="H24" s="181"/>
      <c r="I24" s="182"/>
      <c r="J24" s="175" t="s">
        <v>138</v>
      </c>
      <c r="K24" s="172"/>
      <c r="L24" s="168"/>
      <c r="M24" s="169"/>
      <c r="N24" s="170"/>
      <c r="O24" s="171"/>
      <c r="P24" s="171"/>
      <c r="Q24" s="170"/>
      <c r="R24" s="170"/>
      <c r="S24" s="170"/>
      <c r="T24" s="170"/>
      <c r="U24" s="173"/>
      <c r="V24" s="174" t="s">
        <v>103</v>
      </c>
      <c r="W24" s="174"/>
      <c r="X24" s="198"/>
      <c r="Y24" s="198"/>
      <c r="Z24" s="198"/>
    </row>
    <row r="25" spans="1:26" ht="13.5">
      <c r="B25" s="176">
        <f t="shared" si="0"/>
        <v>13</v>
      </c>
      <c r="C25" s="180" t="s">
        <v>102</v>
      </c>
      <c r="D25" s="166"/>
      <c r="E25" s="167"/>
      <c r="F25" s="180" t="s">
        <v>259</v>
      </c>
      <c r="G25" s="181"/>
      <c r="H25" s="181"/>
      <c r="I25" s="182"/>
      <c r="J25" s="175" t="s">
        <v>136</v>
      </c>
      <c r="K25" s="172">
        <v>20</v>
      </c>
      <c r="L25" s="168"/>
      <c r="M25" s="169"/>
      <c r="N25" s="170"/>
      <c r="O25" s="171"/>
      <c r="P25" s="171"/>
      <c r="Q25" s="170"/>
      <c r="R25" s="170"/>
      <c r="S25" s="170"/>
      <c r="T25" s="170"/>
      <c r="U25" s="173"/>
      <c r="V25" s="174" t="s">
        <v>103</v>
      </c>
      <c r="W25" s="174"/>
      <c r="X25" s="198"/>
      <c r="Y25" s="198"/>
      <c r="Z25" s="198"/>
    </row>
    <row r="26" spans="1:26" ht="13.5">
      <c r="B26" s="176">
        <f t="shared" si="0"/>
        <v>14</v>
      </c>
      <c r="C26" s="180" t="s">
        <v>101</v>
      </c>
      <c r="D26" s="166"/>
      <c r="E26" s="167"/>
      <c r="F26" s="180" t="s">
        <v>162</v>
      </c>
      <c r="G26" s="181"/>
      <c r="H26" s="181"/>
      <c r="I26" s="182"/>
      <c r="J26" s="175" t="s">
        <v>138</v>
      </c>
      <c r="K26" s="172"/>
      <c r="L26" s="168"/>
      <c r="M26" s="169"/>
      <c r="N26" s="170"/>
      <c r="O26" s="171"/>
      <c r="P26" s="171"/>
      <c r="Q26" s="170"/>
      <c r="R26" s="170"/>
      <c r="S26" s="170"/>
      <c r="T26" s="170"/>
      <c r="U26" s="173"/>
      <c r="V26" s="174" t="s">
        <v>103</v>
      </c>
      <c r="W26" s="174"/>
      <c r="X26" s="198"/>
      <c r="Y26" s="198"/>
      <c r="Z26" s="198"/>
    </row>
    <row r="27" spans="1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1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1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1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1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1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  <row r="76" spans="2:26"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26"/>
      <c r="Y76" s="26"/>
      <c r="Z76" s="24"/>
    </row>
    <row r="77" spans="2:26">
      <c r="B77" s="25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26"/>
      <c r="Y77" s="26"/>
      <c r="Z77" s="24"/>
    </row>
    <row r="78" spans="2:26"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26"/>
      <c r="Y78" s="26"/>
      <c r="Z78" s="24"/>
    </row>
    <row r="79" spans="2:26">
      <c r="B79" s="25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26"/>
      <c r="Y79" s="26"/>
      <c r="Z79" s="24"/>
    </row>
    <row r="80" spans="2:26">
      <c r="B80" s="25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26"/>
      <c r="Y80" s="26"/>
      <c r="Z80" s="24"/>
    </row>
  </sheetData>
  <sheetProtection selectLockedCells="1" selectUnlockedCells="1"/>
  <mergeCells count="59">
    <mergeCell ref="X25:Z25"/>
    <mergeCell ref="X26:Z26"/>
    <mergeCell ref="X19:Z19"/>
    <mergeCell ref="X20:Z20"/>
    <mergeCell ref="X16:Z16"/>
    <mergeCell ref="X17:Z17"/>
    <mergeCell ref="X18:Z18"/>
    <mergeCell ref="X21:Z21"/>
    <mergeCell ref="X23:Z23"/>
    <mergeCell ref="X24:Z24"/>
    <mergeCell ref="X22:Z22"/>
    <mergeCell ref="X15:Z15"/>
    <mergeCell ref="B11:B12"/>
    <mergeCell ref="C11:E12"/>
    <mergeCell ref="F11:I12"/>
    <mergeCell ref="J11:J12"/>
    <mergeCell ref="K11:L12"/>
    <mergeCell ref="M11:U11"/>
    <mergeCell ref="V11:V12"/>
    <mergeCell ref="W11:W12"/>
    <mergeCell ref="X11:Z12"/>
    <mergeCell ref="X13:Z13"/>
    <mergeCell ref="X14:Z14"/>
    <mergeCell ref="B8:D8"/>
    <mergeCell ref="E8:L8"/>
    <mergeCell ref="M8:P10"/>
    <mergeCell ref="Q8:Z8"/>
    <mergeCell ref="B9:D9"/>
    <mergeCell ref="E9:L9"/>
    <mergeCell ref="Q9:Z9"/>
    <mergeCell ref="B10:D10"/>
    <mergeCell ref="E10:L10"/>
    <mergeCell ref="Q10:Z10"/>
    <mergeCell ref="B6:D6"/>
    <mergeCell ref="E6:L6"/>
    <mergeCell ref="M6:P6"/>
    <mergeCell ref="Q6:Z6"/>
    <mergeCell ref="B7:D7"/>
    <mergeCell ref="E7:L7"/>
    <mergeCell ref="M7:P7"/>
    <mergeCell ref="Q7:U7"/>
    <mergeCell ref="V7:Y7"/>
    <mergeCell ref="X3:Z5"/>
    <mergeCell ref="K4:N4"/>
    <mergeCell ref="O4:S4"/>
    <mergeCell ref="T4:W4"/>
    <mergeCell ref="K5:N5"/>
    <mergeCell ref="O5:S5"/>
    <mergeCell ref="T5:W5"/>
    <mergeCell ref="B2:D2"/>
    <mergeCell ref="F2:H2"/>
    <mergeCell ref="K2:S2"/>
    <mergeCell ref="T2:W2"/>
    <mergeCell ref="X2:Z2"/>
    <mergeCell ref="B3:E5"/>
    <mergeCell ref="F3:J5"/>
    <mergeCell ref="K3:N3"/>
    <mergeCell ref="O3:S3"/>
    <mergeCell ref="T3:W3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B79A8-0221-4D18-AC38-EC218419FE86}">
  <sheetPr codeName="Sheet272"/>
  <dimension ref="A1:Z76"/>
  <sheetViews>
    <sheetView tabSelected="1" view="pageBreakPreview" zoomScaleSheetLayoutView="100" workbookViewId="0">
      <selection activeCell="AC15" sqref="AC15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 t="s">
        <v>298</v>
      </c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 t="s">
        <v>294</v>
      </c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SUM(K13:L226)+COUNTIF(J13:J226,"decimal")*17+COUNTIF(J13:J226,"text")*200-SUMIF(J13:J226,"decimal",K13:K226)-SUMIF(J13:J226,"decimal",L13:L226)-SUMIF(J13:J226,"text",K13:K226)-SUMIF(J13:J226,"text",L13:L226)</f>
        <v>480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76">
        <f t="shared" ref="B13:B22" si="0">ROW()-12</f>
        <v>1</v>
      </c>
      <c r="C13" s="177" t="s">
        <v>281</v>
      </c>
      <c r="D13" s="178"/>
      <c r="E13" s="179"/>
      <c r="F13" s="180" t="s">
        <v>274</v>
      </c>
      <c r="G13" s="181"/>
      <c r="H13" s="181"/>
      <c r="I13" s="182"/>
      <c r="J13" s="176" t="s">
        <v>136</v>
      </c>
      <c r="K13" s="32">
        <v>20</v>
      </c>
      <c r="L13" s="168"/>
      <c r="M13" s="169">
        <v>1</v>
      </c>
      <c r="N13" s="170">
        <v>1</v>
      </c>
      <c r="O13" s="171"/>
      <c r="P13" s="171"/>
      <c r="Q13" s="170"/>
      <c r="R13" s="170"/>
      <c r="S13" s="170"/>
      <c r="T13" s="170"/>
      <c r="U13" s="173"/>
      <c r="V13" s="174" t="s">
        <v>103</v>
      </c>
      <c r="W13" s="174"/>
      <c r="X13" s="215"/>
      <c r="Y13" s="218"/>
      <c r="Z13" s="219"/>
    </row>
    <row r="14" spans="1:26" ht="13.5" customHeight="1">
      <c r="B14" s="176">
        <f t="shared" si="0"/>
        <v>2</v>
      </c>
      <c r="C14" s="177" t="s">
        <v>261</v>
      </c>
      <c r="D14" s="178"/>
      <c r="E14" s="179"/>
      <c r="F14" s="180" t="s">
        <v>252</v>
      </c>
      <c r="G14" s="181"/>
      <c r="H14" s="181"/>
      <c r="I14" s="182"/>
      <c r="J14" s="176" t="s">
        <v>136</v>
      </c>
      <c r="K14" s="32">
        <v>20</v>
      </c>
      <c r="L14" s="168"/>
      <c r="M14" s="169">
        <v>2</v>
      </c>
      <c r="N14" s="170">
        <v>2</v>
      </c>
      <c r="O14" s="171"/>
      <c r="P14" s="171"/>
      <c r="Q14" s="170"/>
      <c r="R14" s="170"/>
      <c r="S14" s="170"/>
      <c r="T14" s="170"/>
      <c r="U14" s="173"/>
      <c r="V14" s="174" t="s">
        <v>103</v>
      </c>
      <c r="W14" s="174"/>
      <c r="X14" s="198"/>
      <c r="Y14" s="198"/>
      <c r="Z14" s="198"/>
    </row>
    <row r="15" spans="1:26" ht="13.5" customHeight="1">
      <c r="B15" s="176">
        <f t="shared" si="0"/>
        <v>3</v>
      </c>
      <c r="C15" s="177" t="s">
        <v>276</v>
      </c>
      <c r="D15" s="178"/>
      <c r="E15" s="179"/>
      <c r="F15" s="180" t="s">
        <v>275</v>
      </c>
      <c r="G15" s="181"/>
      <c r="H15" s="181"/>
      <c r="I15" s="182"/>
      <c r="J15" s="176" t="s">
        <v>135</v>
      </c>
      <c r="K15" s="32"/>
      <c r="L15" s="168"/>
      <c r="M15" s="169"/>
      <c r="N15" s="170">
        <v>3</v>
      </c>
      <c r="O15" s="171"/>
      <c r="P15" s="171"/>
      <c r="Q15" s="170"/>
      <c r="R15" s="170"/>
      <c r="S15" s="170"/>
      <c r="T15" s="170"/>
      <c r="U15" s="173"/>
      <c r="V15" s="174" t="s">
        <v>103</v>
      </c>
      <c r="W15" s="174"/>
      <c r="X15" s="197"/>
      <c r="Y15" s="198"/>
      <c r="Z15" s="198"/>
    </row>
    <row r="16" spans="1:26" ht="13.5" customHeight="1">
      <c r="B16" s="176">
        <f t="shared" si="0"/>
        <v>4</v>
      </c>
      <c r="C16" s="180" t="s">
        <v>278</v>
      </c>
      <c r="D16" s="166"/>
      <c r="E16" s="167"/>
      <c r="F16" s="180" t="s">
        <v>277</v>
      </c>
      <c r="G16" s="181"/>
      <c r="H16" s="181"/>
      <c r="I16" s="182"/>
      <c r="J16" s="175" t="s">
        <v>166</v>
      </c>
      <c r="K16" s="172">
        <v>100</v>
      </c>
      <c r="L16" s="168"/>
      <c r="M16" s="169"/>
      <c r="N16" s="170"/>
      <c r="O16" s="171"/>
      <c r="P16" s="171"/>
      <c r="Q16" s="170"/>
      <c r="R16" s="170"/>
      <c r="S16" s="170"/>
      <c r="T16" s="170"/>
      <c r="U16" s="173"/>
      <c r="V16" s="174" t="s">
        <v>103</v>
      </c>
      <c r="W16" s="174"/>
      <c r="X16" s="198"/>
      <c r="Y16" s="198"/>
      <c r="Z16" s="198"/>
    </row>
    <row r="17" spans="1:26" ht="13.5" customHeight="1">
      <c r="A17" s="24"/>
      <c r="B17" s="176">
        <f t="shared" si="0"/>
        <v>5</v>
      </c>
      <c r="C17" s="180" t="s">
        <v>282</v>
      </c>
      <c r="D17" s="166"/>
      <c r="E17" s="167"/>
      <c r="F17" s="180" t="s">
        <v>279</v>
      </c>
      <c r="G17" s="181"/>
      <c r="H17" s="181"/>
      <c r="I17" s="182"/>
      <c r="J17" s="175" t="s">
        <v>166</v>
      </c>
      <c r="K17" s="172" t="s">
        <v>186</v>
      </c>
      <c r="L17" s="168"/>
      <c r="M17" s="169"/>
      <c r="N17" s="170"/>
      <c r="O17" s="171"/>
      <c r="P17" s="171"/>
      <c r="Q17" s="170"/>
      <c r="R17" s="170"/>
      <c r="S17" s="170"/>
      <c r="T17" s="170"/>
      <c r="U17" s="173"/>
      <c r="V17" s="174" t="s">
        <v>103</v>
      </c>
      <c r="W17" s="174"/>
      <c r="X17" s="198"/>
      <c r="Y17" s="198"/>
      <c r="Z17" s="198"/>
    </row>
    <row r="18" spans="1:26" ht="13.5" customHeight="1">
      <c r="B18" s="176">
        <f t="shared" si="0"/>
        <v>6</v>
      </c>
      <c r="C18" s="180" t="s">
        <v>283</v>
      </c>
      <c r="D18" s="166"/>
      <c r="E18" s="167"/>
      <c r="F18" s="180" t="s">
        <v>280</v>
      </c>
      <c r="G18" s="181"/>
      <c r="H18" s="181"/>
      <c r="I18" s="182"/>
      <c r="J18" s="175" t="s">
        <v>166</v>
      </c>
      <c r="K18" s="172">
        <v>300</v>
      </c>
      <c r="L18" s="168"/>
      <c r="M18" s="169"/>
      <c r="N18" s="170"/>
      <c r="O18" s="171"/>
      <c r="P18" s="171"/>
      <c r="Q18" s="170"/>
      <c r="R18" s="170"/>
      <c r="S18" s="170"/>
      <c r="T18" s="170"/>
      <c r="U18" s="173"/>
      <c r="V18" s="174" t="s">
        <v>103</v>
      </c>
      <c r="W18" s="174"/>
      <c r="X18" s="198"/>
      <c r="Y18" s="198"/>
      <c r="Z18" s="198"/>
    </row>
    <row r="19" spans="1:26" ht="13.5" customHeight="1">
      <c r="A19" s="26"/>
      <c r="B19" s="176">
        <f t="shared" si="0"/>
        <v>7</v>
      </c>
      <c r="C19" s="180" t="s">
        <v>267</v>
      </c>
      <c r="D19" s="166"/>
      <c r="E19" s="167"/>
      <c r="F19" s="180" t="s">
        <v>258</v>
      </c>
      <c r="G19" s="181"/>
      <c r="H19" s="181"/>
      <c r="I19" s="182"/>
      <c r="J19" s="175" t="s">
        <v>136</v>
      </c>
      <c r="K19" s="172">
        <v>20</v>
      </c>
      <c r="L19" s="168"/>
      <c r="M19" s="169"/>
      <c r="N19" s="170"/>
      <c r="O19" s="171"/>
      <c r="P19" s="171"/>
      <c r="Q19" s="170"/>
      <c r="R19" s="170"/>
      <c r="S19" s="170"/>
      <c r="T19" s="170"/>
      <c r="U19" s="173"/>
      <c r="V19" s="174" t="s">
        <v>103</v>
      </c>
      <c r="W19" s="174"/>
      <c r="X19" s="198"/>
      <c r="Y19" s="198"/>
      <c r="Z19" s="198"/>
    </row>
    <row r="20" spans="1:26" ht="13.5">
      <c r="B20" s="176">
        <f t="shared" si="0"/>
        <v>8</v>
      </c>
      <c r="C20" s="180" t="s">
        <v>268</v>
      </c>
      <c r="D20" s="166"/>
      <c r="E20" s="167"/>
      <c r="F20" s="180" t="s">
        <v>161</v>
      </c>
      <c r="G20" s="181"/>
      <c r="H20" s="181"/>
      <c r="I20" s="182"/>
      <c r="J20" s="175" t="s">
        <v>138</v>
      </c>
      <c r="K20" s="172"/>
      <c r="L20" s="168"/>
      <c r="M20" s="169"/>
      <c r="N20" s="170"/>
      <c r="O20" s="171"/>
      <c r="P20" s="171"/>
      <c r="Q20" s="170"/>
      <c r="R20" s="170"/>
      <c r="S20" s="170"/>
      <c r="T20" s="170"/>
      <c r="U20" s="173"/>
      <c r="V20" s="174" t="s">
        <v>103</v>
      </c>
      <c r="W20" s="174"/>
      <c r="X20" s="198"/>
      <c r="Y20" s="198"/>
      <c r="Z20" s="198"/>
    </row>
    <row r="21" spans="1:26" ht="13.5">
      <c r="B21" s="176">
        <f t="shared" si="0"/>
        <v>9</v>
      </c>
      <c r="C21" s="180" t="s">
        <v>102</v>
      </c>
      <c r="D21" s="166"/>
      <c r="E21" s="167"/>
      <c r="F21" s="180" t="s">
        <v>259</v>
      </c>
      <c r="G21" s="181"/>
      <c r="H21" s="181"/>
      <c r="I21" s="182"/>
      <c r="J21" s="175" t="s">
        <v>136</v>
      </c>
      <c r="K21" s="172">
        <v>20</v>
      </c>
      <c r="L21" s="168"/>
      <c r="M21" s="169"/>
      <c r="N21" s="170"/>
      <c r="O21" s="171"/>
      <c r="P21" s="171"/>
      <c r="Q21" s="170"/>
      <c r="R21" s="170"/>
      <c r="S21" s="170"/>
      <c r="T21" s="170"/>
      <c r="U21" s="173"/>
      <c r="V21" s="174" t="s">
        <v>103</v>
      </c>
      <c r="W21" s="174"/>
      <c r="X21" s="198"/>
      <c r="Y21" s="198"/>
      <c r="Z21" s="198"/>
    </row>
    <row r="22" spans="1:26" ht="13.5">
      <c r="B22" s="176">
        <f t="shared" si="0"/>
        <v>10</v>
      </c>
      <c r="C22" s="180" t="s">
        <v>101</v>
      </c>
      <c r="D22" s="166"/>
      <c r="E22" s="167"/>
      <c r="F22" s="180" t="s">
        <v>162</v>
      </c>
      <c r="G22" s="181"/>
      <c r="H22" s="181"/>
      <c r="I22" s="182"/>
      <c r="J22" s="175" t="s">
        <v>138</v>
      </c>
      <c r="K22" s="172"/>
      <c r="L22" s="168"/>
      <c r="M22" s="169"/>
      <c r="N22" s="170"/>
      <c r="O22" s="171"/>
      <c r="P22" s="171"/>
      <c r="Q22" s="170"/>
      <c r="R22" s="170"/>
      <c r="S22" s="170"/>
      <c r="T22" s="170"/>
      <c r="U22" s="173"/>
      <c r="V22" s="174" t="s">
        <v>103</v>
      </c>
      <c r="W22" s="174"/>
      <c r="X22" s="198"/>
      <c r="Y22" s="198"/>
      <c r="Z22" s="198"/>
    </row>
    <row r="23" spans="1:26"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26"/>
      <c r="Y23" s="26"/>
      <c r="Z23" s="24"/>
    </row>
    <row r="24" spans="1:26"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26"/>
      <c r="Y24" s="26"/>
      <c r="Z24" s="24"/>
    </row>
    <row r="25" spans="1:26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26"/>
      <c r="Y25" s="26"/>
      <c r="Z25" s="24"/>
    </row>
    <row r="26" spans="1:26"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26"/>
      <c r="Y26" s="26"/>
      <c r="Z26" s="24"/>
    </row>
    <row r="27" spans="1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1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1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1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1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1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  <row r="76" spans="2:26"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26"/>
      <c r="Y76" s="26"/>
      <c r="Z76" s="24"/>
    </row>
  </sheetData>
  <sheetProtection selectLockedCells="1" selectUnlockedCells="1"/>
  <mergeCells count="55">
    <mergeCell ref="X19:Z19"/>
    <mergeCell ref="X20:Z20"/>
    <mergeCell ref="X21:Z21"/>
    <mergeCell ref="X22:Z22"/>
    <mergeCell ref="X16:Z16"/>
    <mergeCell ref="X17:Z17"/>
    <mergeCell ref="X18:Z18"/>
    <mergeCell ref="X15:Z15"/>
    <mergeCell ref="B11:B12"/>
    <mergeCell ref="C11:E12"/>
    <mergeCell ref="F11:I12"/>
    <mergeCell ref="J11:J12"/>
    <mergeCell ref="K11:L12"/>
    <mergeCell ref="M11:U11"/>
    <mergeCell ref="V11:V12"/>
    <mergeCell ref="W11:W12"/>
    <mergeCell ref="X11:Z12"/>
    <mergeCell ref="X13:Z13"/>
    <mergeCell ref="X14:Z14"/>
    <mergeCell ref="B8:D8"/>
    <mergeCell ref="E8:L8"/>
    <mergeCell ref="M8:P10"/>
    <mergeCell ref="Q8:Z8"/>
    <mergeCell ref="B9:D9"/>
    <mergeCell ref="E9:L9"/>
    <mergeCell ref="Q9:Z9"/>
    <mergeCell ref="B10:D10"/>
    <mergeCell ref="E10:L10"/>
    <mergeCell ref="Q10:Z10"/>
    <mergeCell ref="B6:D6"/>
    <mergeCell ref="E6:L6"/>
    <mergeCell ref="M6:P6"/>
    <mergeCell ref="Q6:Z6"/>
    <mergeCell ref="B7:D7"/>
    <mergeCell ref="E7:L7"/>
    <mergeCell ref="M7:P7"/>
    <mergeCell ref="Q7:U7"/>
    <mergeCell ref="V7:Y7"/>
    <mergeCell ref="X3:Z5"/>
    <mergeCell ref="K4:N4"/>
    <mergeCell ref="O4:S4"/>
    <mergeCell ref="T4:W4"/>
    <mergeCell ref="K5:N5"/>
    <mergeCell ref="O5:S5"/>
    <mergeCell ref="T5:W5"/>
    <mergeCell ref="B2:D2"/>
    <mergeCell ref="F2:H2"/>
    <mergeCell ref="K2:S2"/>
    <mergeCell ref="T2:W2"/>
    <mergeCell ref="X2:Z2"/>
    <mergeCell ref="B3:E5"/>
    <mergeCell ref="F3:J5"/>
    <mergeCell ref="K3:N3"/>
    <mergeCell ref="O3:S3"/>
    <mergeCell ref="T3:W3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7"/>
  <dimension ref="A1:Z78"/>
  <sheetViews>
    <sheetView view="pageBreakPreview" topLeftCell="A7" zoomScaleSheetLayoutView="100" workbookViewId="0">
      <selection activeCell="E33" sqref="E33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03" t="s">
        <v>128</v>
      </c>
      <c r="F6" s="203"/>
      <c r="G6" s="203"/>
      <c r="H6" s="203"/>
      <c r="I6" s="203"/>
      <c r="J6" s="203"/>
      <c r="K6" s="203"/>
      <c r="L6" s="20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02" t="s">
        <v>88</v>
      </c>
      <c r="F7" s="202"/>
      <c r="G7" s="202"/>
      <c r="H7" s="202"/>
      <c r="I7" s="202"/>
      <c r="J7" s="202"/>
      <c r="K7" s="202"/>
      <c r="L7" s="202"/>
      <c r="M7" s="200" t="s">
        <v>62</v>
      </c>
      <c r="N7" s="200"/>
      <c r="O7" s="200"/>
      <c r="P7" s="200"/>
      <c r="Q7" s="206">
        <f>SUM(K13:L228)+COUNTIF(J13:J228,"decimal")*17+COUNTIF(J13:J228,"text")*200-SUMIF(J13:J228,"decimal",K13:K228)-SUMIF(J13:J228,"decimal",L13:L228)-SUMIF(J13:J228,"text",K13:K228)-SUMIF(J13:J228,"text",L13:L228)</f>
        <v>139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86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5">
        <f t="shared" ref="B13" si="0">ROW()-12</f>
        <v>1</v>
      </c>
      <c r="C13" s="20" t="s">
        <v>99</v>
      </c>
      <c r="D13" s="21"/>
      <c r="E13" s="31"/>
      <c r="F13" s="20"/>
      <c r="G13" s="21"/>
      <c r="H13" s="21"/>
      <c r="I13" s="31"/>
      <c r="J13" s="15" t="s">
        <v>100</v>
      </c>
      <c r="K13" s="37">
        <v>4</v>
      </c>
      <c r="L13" s="43"/>
      <c r="M13" s="44">
        <v>1</v>
      </c>
      <c r="N13" s="45"/>
      <c r="O13" s="46"/>
      <c r="P13" s="46"/>
      <c r="Q13" s="45"/>
      <c r="R13" s="45"/>
      <c r="S13" s="45"/>
      <c r="T13" s="45"/>
      <c r="U13" s="48"/>
      <c r="V13" s="28" t="s">
        <v>81</v>
      </c>
      <c r="W13" s="28"/>
      <c r="X13" s="20"/>
      <c r="Y13" s="21"/>
      <c r="Z13" s="31"/>
    </row>
    <row r="14" spans="1:26" ht="13.5" customHeight="1">
      <c r="B14" s="115">
        <f t="shared" ref="B14:B27" si="1">ROW()-12</f>
        <v>2</v>
      </c>
      <c r="C14" s="20" t="s">
        <v>90</v>
      </c>
      <c r="D14" s="21"/>
      <c r="E14" s="31"/>
      <c r="F14" s="20" t="s">
        <v>110</v>
      </c>
      <c r="G14" s="21"/>
      <c r="H14" s="21"/>
      <c r="I14" s="31"/>
      <c r="J14" s="15" t="s">
        <v>89</v>
      </c>
      <c r="K14" s="37">
        <v>4</v>
      </c>
      <c r="L14" s="43"/>
      <c r="M14" s="44"/>
      <c r="N14" s="45"/>
      <c r="O14" s="47"/>
      <c r="P14" s="47"/>
      <c r="Q14" s="45"/>
      <c r="R14" s="45"/>
      <c r="S14" s="45"/>
      <c r="T14" s="45"/>
      <c r="U14" s="48"/>
      <c r="V14" s="28" t="s">
        <v>81</v>
      </c>
      <c r="W14" s="28"/>
      <c r="X14" s="20" t="s">
        <v>107</v>
      </c>
      <c r="Y14" s="21"/>
      <c r="Z14" s="31"/>
    </row>
    <row r="15" spans="1:26" ht="13.5" customHeight="1">
      <c r="B15" s="115">
        <f t="shared" si="1"/>
        <v>3</v>
      </c>
      <c r="C15" s="20" t="s">
        <v>91</v>
      </c>
      <c r="D15" s="21"/>
      <c r="E15" s="31"/>
      <c r="F15" s="20" t="s">
        <v>111</v>
      </c>
      <c r="G15" s="21"/>
      <c r="H15" s="21"/>
      <c r="I15" s="31"/>
      <c r="J15" s="15" t="s">
        <v>83</v>
      </c>
      <c r="K15" s="37">
        <v>2</v>
      </c>
      <c r="L15" s="43"/>
      <c r="M15" s="44"/>
      <c r="N15" s="44"/>
      <c r="O15" s="47"/>
      <c r="P15" s="47"/>
      <c r="Q15" s="45"/>
      <c r="R15" s="45"/>
      <c r="S15" s="45"/>
      <c r="T15" s="45"/>
      <c r="U15" s="48"/>
      <c r="V15" s="28" t="s">
        <v>103</v>
      </c>
      <c r="W15" s="28"/>
      <c r="X15" s="20" t="s">
        <v>106</v>
      </c>
      <c r="Y15" s="21"/>
      <c r="Z15" s="31"/>
    </row>
    <row r="16" spans="1:26" ht="13.5" customHeight="1">
      <c r="B16" s="15">
        <f t="shared" si="1"/>
        <v>4</v>
      </c>
      <c r="C16" s="20" t="s">
        <v>92</v>
      </c>
      <c r="D16" s="21"/>
      <c r="E16" s="31"/>
      <c r="F16" s="20" t="s">
        <v>108</v>
      </c>
      <c r="G16" s="21"/>
      <c r="H16" s="21"/>
      <c r="I16" s="31"/>
      <c r="J16" s="15" t="s">
        <v>89</v>
      </c>
      <c r="K16" s="37">
        <v>15</v>
      </c>
      <c r="L16" s="43"/>
      <c r="M16" s="44"/>
      <c r="N16" s="45">
        <v>1</v>
      </c>
      <c r="O16" s="47"/>
      <c r="P16" s="47"/>
      <c r="Q16" s="45"/>
      <c r="R16" s="45"/>
      <c r="S16" s="45"/>
      <c r="T16" s="45"/>
      <c r="U16" s="48"/>
      <c r="V16" s="28" t="s">
        <v>103</v>
      </c>
      <c r="W16" s="28"/>
      <c r="X16" s="20"/>
      <c r="Y16" s="21"/>
      <c r="Z16" s="31"/>
    </row>
    <row r="17" spans="2:26" ht="13.5" customHeight="1">
      <c r="B17" s="115">
        <f t="shared" si="1"/>
        <v>5</v>
      </c>
      <c r="C17" s="20" t="s">
        <v>93</v>
      </c>
      <c r="D17" s="22"/>
      <c r="E17" s="23"/>
      <c r="F17" s="20" t="s">
        <v>112</v>
      </c>
      <c r="G17" s="21"/>
      <c r="H17" s="21"/>
      <c r="I17" s="31"/>
      <c r="J17" s="115" t="s">
        <v>97</v>
      </c>
      <c r="K17" s="37">
        <v>20</v>
      </c>
      <c r="L17" s="43"/>
      <c r="M17" s="45"/>
      <c r="N17" s="45">
        <v>2</v>
      </c>
      <c r="O17" s="45"/>
      <c r="P17" s="45"/>
      <c r="Q17" s="45"/>
      <c r="R17" s="45"/>
      <c r="S17" s="45"/>
      <c r="T17" s="45"/>
      <c r="U17" s="48"/>
      <c r="V17" s="116" t="s">
        <v>81</v>
      </c>
      <c r="W17" s="28"/>
      <c r="X17" s="20"/>
      <c r="Y17" s="21"/>
      <c r="Z17" s="31"/>
    </row>
    <row r="18" spans="2:26" ht="13.5" customHeight="1">
      <c r="B18" s="115">
        <f t="shared" si="1"/>
        <v>6</v>
      </c>
      <c r="C18" s="20" t="s">
        <v>94</v>
      </c>
      <c r="D18" s="22"/>
      <c r="E18" s="23"/>
      <c r="F18" s="20" t="s">
        <v>113</v>
      </c>
      <c r="G18" s="21"/>
      <c r="H18" s="21"/>
      <c r="I18" s="31"/>
      <c r="J18" s="115" t="s">
        <v>83</v>
      </c>
      <c r="K18" s="37">
        <v>10</v>
      </c>
      <c r="L18" s="43"/>
      <c r="M18" s="45"/>
      <c r="N18" s="45"/>
      <c r="O18" s="45"/>
      <c r="P18" s="45"/>
      <c r="Q18" s="45"/>
      <c r="R18" s="45"/>
      <c r="S18" s="45"/>
      <c r="T18" s="45"/>
      <c r="U18" s="48"/>
      <c r="V18" s="116" t="s">
        <v>109</v>
      </c>
      <c r="W18" s="116"/>
      <c r="X18" s="20"/>
      <c r="Y18" s="21"/>
      <c r="Z18" s="31"/>
    </row>
    <row r="19" spans="2:26" ht="13.5" customHeight="1">
      <c r="B19" s="115">
        <f t="shared" si="1"/>
        <v>7</v>
      </c>
      <c r="C19" s="20" t="s">
        <v>95</v>
      </c>
      <c r="D19" s="22"/>
      <c r="E19" s="23"/>
      <c r="F19" s="20" t="s">
        <v>95</v>
      </c>
      <c r="G19" s="21"/>
      <c r="H19" s="21"/>
      <c r="I19" s="31"/>
      <c r="J19" s="15" t="s">
        <v>97</v>
      </c>
      <c r="K19" s="37">
        <v>20</v>
      </c>
      <c r="L19" s="43"/>
      <c r="M19" s="45"/>
      <c r="N19" s="45"/>
      <c r="O19" s="45"/>
      <c r="P19" s="45"/>
      <c r="Q19" s="45"/>
      <c r="R19" s="45"/>
      <c r="S19" s="45"/>
      <c r="T19" s="45"/>
      <c r="U19" s="48"/>
      <c r="V19" s="116" t="s">
        <v>81</v>
      </c>
      <c r="W19" s="28"/>
      <c r="X19" s="20"/>
      <c r="Y19" s="21"/>
      <c r="Z19" s="31"/>
    </row>
    <row r="20" spans="2:26" ht="13.5" customHeight="1">
      <c r="B20" s="117">
        <f t="shared" si="1"/>
        <v>8</v>
      </c>
      <c r="C20" s="20" t="s">
        <v>96</v>
      </c>
      <c r="D20" s="22"/>
      <c r="E20" s="23"/>
      <c r="F20" s="20" t="s">
        <v>114</v>
      </c>
      <c r="G20" s="21"/>
      <c r="H20" s="21"/>
      <c r="I20" s="31"/>
      <c r="J20" s="117" t="s">
        <v>97</v>
      </c>
      <c r="K20" s="37">
        <v>10</v>
      </c>
      <c r="L20" s="43"/>
      <c r="M20" s="45"/>
      <c r="N20" s="45"/>
      <c r="O20" s="45"/>
      <c r="P20" s="45"/>
      <c r="Q20" s="45"/>
      <c r="R20" s="45"/>
      <c r="S20" s="45"/>
      <c r="T20" s="45"/>
      <c r="U20" s="48"/>
      <c r="V20" s="118" t="s">
        <v>127</v>
      </c>
      <c r="W20" s="118"/>
      <c r="X20" s="20"/>
      <c r="Y20" s="21"/>
      <c r="Z20" s="31"/>
    </row>
    <row r="21" spans="2:26" ht="13.5" customHeight="1">
      <c r="B21" s="117">
        <f t="shared" si="1"/>
        <v>9</v>
      </c>
      <c r="C21" s="20" t="s">
        <v>98</v>
      </c>
      <c r="D21" s="22"/>
      <c r="E21" s="23"/>
      <c r="F21" s="20" t="s">
        <v>115</v>
      </c>
      <c r="G21" s="21"/>
      <c r="H21" s="21"/>
      <c r="I21" s="31"/>
      <c r="J21" s="117" t="s">
        <v>129</v>
      </c>
      <c r="K21" s="37">
        <v>4</v>
      </c>
      <c r="L21" s="43"/>
      <c r="M21" s="45"/>
      <c r="N21" s="45"/>
      <c r="O21" s="45"/>
      <c r="P21" s="45"/>
      <c r="Q21" s="45"/>
      <c r="R21" s="45"/>
      <c r="S21" s="45"/>
      <c r="T21" s="45"/>
      <c r="U21" s="48"/>
      <c r="V21" s="118" t="s">
        <v>103</v>
      </c>
      <c r="W21" s="118"/>
      <c r="X21" s="20"/>
      <c r="Y21" s="21"/>
      <c r="Z21" s="31"/>
    </row>
    <row r="22" spans="2:26" ht="13.5" customHeight="1">
      <c r="B22" s="117">
        <f t="shared" si="1"/>
        <v>10</v>
      </c>
      <c r="C22" s="20" t="s">
        <v>104</v>
      </c>
      <c r="D22" s="22"/>
      <c r="E22" s="23"/>
      <c r="F22" s="20" t="s">
        <v>116</v>
      </c>
      <c r="G22" s="21"/>
      <c r="H22" s="21"/>
      <c r="I22" s="31"/>
      <c r="J22" s="117" t="s">
        <v>105</v>
      </c>
      <c r="K22" s="37">
        <v>4</v>
      </c>
      <c r="L22" s="43"/>
      <c r="M22" s="45"/>
      <c r="N22" s="45"/>
      <c r="O22" s="45"/>
      <c r="P22" s="45"/>
      <c r="Q22" s="45"/>
      <c r="R22" s="45"/>
      <c r="S22" s="45"/>
      <c r="T22" s="45"/>
      <c r="U22" s="48"/>
      <c r="V22" s="118" t="s">
        <v>103</v>
      </c>
      <c r="W22" s="118"/>
      <c r="X22" s="20"/>
      <c r="Y22" s="21"/>
      <c r="Z22" s="31"/>
    </row>
    <row r="23" spans="2:26" ht="13.5" customHeight="1">
      <c r="B23" s="117">
        <f t="shared" si="1"/>
        <v>11</v>
      </c>
      <c r="C23" s="20" t="s">
        <v>117</v>
      </c>
      <c r="D23" s="22"/>
      <c r="E23" s="23"/>
      <c r="F23" s="20" t="s">
        <v>119</v>
      </c>
      <c r="G23" s="21"/>
      <c r="H23" s="21"/>
      <c r="I23" s="31"/>
      <c r="J23" s="117" t="s">
        <v>97</v>
      </c>
      <c r="K23" s="37">
        <v>10</v>
      </c>
      <c r="L23" s="43"/>
      <c r="M23" s="45"/>
      <c r="N23" s="45"/>
      <c r="O23" s="45"/>
      <c r="P23" s="45"/>
      <c r="Q23" s="45"/>
      <c r="R23" s="45"/>
      <c r="S23" s="45"/>
      <c r="T23" s="45"/>
      <c r="U23" s="48"/>
      <c r="V23" s="118" t="s">
        <v>103</v>
      </c>
      <c r="W23" s="118"/>
      <c r="X23" s="20"/>
      <c r="Y23" s="21"/>
      <c r="Z23" s="31"/>
    </row>
    <row r="24" spans="2:26" ht="13.5" customHeight="1">
      <c r="B24" s="117">
        <f t="shared" si="1"/>
        <v>12</v>
      </c>
      <c r="C24" s="20" t="s">
        <v>118</v>
      </c>
      <c r="D24" s="22"/>
      <c r="E24" s="23"/>
      <c r="F24" s="20" t="s">
        <v>120</v>
      </c>
      <c r="G24" s="21"/>
      <c r="H24" s="21"/>
      <c r="I24" s="31"/>
      <c r="J24" s="117" t="s">
        <v>125</v>
      </c>
      <c r="K24" s="37">
        <v>8</v>
      </c>
      <c r="L24" s="43"/>
      <c r="M24" s="45"/>
      <c r="N24" s="45"/>
      <c r="O24" s="45"/>
      <c r="P24" s="45"/>
      <c r="Q24" s="45"/>
      <c r="R24" s="45"/>
      <c r="S24" s="45"/>
      <c r="T24" s="45"/>
      <c r="U24" s="48"/>
      <c r="V24" s="118" t="s">
        <v>103</v>
      </c>
      <c r="W24" s="118"/>
      <c r="X24" s="20"/>
      <c r="Y24" s="21"/>
      <c r="Z24" s="31"/>
    </row>
    <row r="25" spans="2:26" ht="13.5" customHeight="1">
      <c r="B25" s="117">
        <f t="shared" si="1"/>
        <v>13</v>
      </c>
      <c r="C25" s="20" t="s">
        <v>101</v>
      </c>
      <c r="D25" s="22"/>
      <c r="E25" s="23"/>
      <c r="F25" s="20" t="s">
        <v>121</v>
      </c>
      <c r="G25" s="21"/>
      <c r="H25" s="21"/>
      <c r="I25" s="31"/>
      <c r="J25" s="117" t="s">
        <v>125</v>
      </c>
      <c r="K25" s="37">
        <v>8</v>
      </c>
      <c r="L25" s="43"/>
      <c r="M25" s="45"/>
      <c r="N25" s="45"/>
      <c r="O25" s="45"/>
      <c r="P25" s="45"/>
      <c r="Q25" s="45"/>
      <c r="R25" s="45"/>
      <c r="S25" s="45"/>
      <c r="T25" s="45"/>
      <c r="U25" s="48"/>
      <c r="V25" s="118" t="s">
        <v>103</v>
      </c>
      <c r="W25" s="118"/>
      <c r="X25" s="20"/>
      <c r="Y25" s="21"/>
      <c r="Z25" s="31"/>
    </row>
    <row r="26" spans="2:26" ht="13.5" customHeight="1">
      <c r="B26" s="117">
        <f t="shared" si="1"/>
        <v>14</v>
      </c>
      <c r="C26" s="20" t="s">
        <v>102</v>
      </c>
      <c r="D26" s="22"/>
      <c r="E26" s="23"/>
      <c r="F26" s="20" t="s">
        <v>122</v>
      </c>
      <c r="G26" s="21"/>
      <c r="H26" s="21"/>
      <c r="I26" s="31"/>
      <c r="J26" s="117" t="s">
        <v>97</v>
      </c>
      <c r="K26" s="37">
        <v>10</v>
      </c>
      <c r="L26" s="43"/>
      <c r="M26" s="45"/>
      <c r="N26" s="45"/>
      <c r="O26" s="45"/>
      <c r="P26" s="45"/>
      <c r="Q26" s="45"/>
      <c r="R26" s="45"/>
      <c r="S26" s="45"/>
      <c r="T26" s="45"/>
      <c r="U26" s="48"/>
      <c r="V26" s="118" t="s">
        <v>103</v>
      </c>
      <c r="W26" s="118"/>
      <c r="X26" s="20"/>
      <c r="Y26" s="21"/>
      <c r="Z26" s="31"/>
    </row>
    <row r="27" spans="2:26" ht="13.5" customHeight="1">
      <c r="B27" s="115">
        <f t="shared" si="1"/>
        <v>15</v>
      </c>
      <c r="C27" s="20" t="s">
        <v>123</v>
      </c>
      <c r="D27" s="22"/>
      <c r="E27" s="23"/>
      <c r="F27" s="20" t="s">
        <v>124</v>
      </c>
      <c r="G27" s="21"/>
      <c r="H27" s="21"/>
      <c r="I27" s="31"/>
      <c r="J27" s="15" t="s">
        <v>89</v>
      </c>
      <c r="K27" s="37">
        <v>10</v>
      </c>
      <c r="L27" s="33"/>
      <c r="M27" s="34"/>
      <c r="N27" s="35"/>
      <c r="O27" s="36"/>
      <c r="P27" s="36"/>
      <c r="Q27" s="35"/>
      <c r="R27" s="35"/>
      <c r="S27" s="35"/>
      <c r="T27" s="35"/>
      <c r="U27" s="40"/>
      <c r="V27" s="41" t="s">
        <v>103</v>
      </c>
      <c r="W27" s="41"/>
      <c r="X27" s="198" t="s">
        <v>126</v>
      </c>
      <c r="Y27" s="198"/>
      <c r="Z27" s="198"/>
    </row>
    <row r="28" spans="2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2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2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2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2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  <row r="76" spans="2:26"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26"/>
      <c r="Y76" s="26"/>
      <c r="Z76" s="24"/>
    </row>
    <row r="77" spans="2:26">
      <c r="B77" s="25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26"/>
      <c r="Y77" s="26"/>
      <c r="Z77" s="24"/>
    </row>
    <row r="78" spans="2:26"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26"/>
      <c r="Y78" s="26"/>
      <c r="Z78" s="24"/>
    </row>
  </sheetData>
  <sheetProtection selectLockedCells="1" selectUnlockedCells="1"/>
  <mergeCells count="46">
    <mergeCell ref="B2:D2"/>
    <mergeCell ref="F2:H2"/>
    <mergeCell ref="K2:S2"/>
    <mergeCell ref="T2:W2"/>
    <mergeCell ref="X2:Z2"/>
    <mergeCell ref="B6:D6"/>
    <mergeCell ref="E6:L6"/>
    <mergeCell ref="M6:P6"/>
    <mergeCell ref="Q6:Z6"/>
    <mergeCell ref="B3:E5"/>
    <mergeCell ref="F3:J5"/>
    <mergeCell ref="X3:Z5"/>
    <mergeCell ref="K3:N3"/>
    <mergeCell ref="O3:S3"/>
    <mergeCell ref="T3:W3"/>
    <mergeCell ref="K4:N4"/>
    <mergeCell ref="O4:S4"/>
    <mergeCell ref="T4:W4"/>
    <mergeCell ref="V7:Y7"/>
    <mergeCell ref="X11:Z12"/>
    <mergeCell ref="F11:I12"/>
    <mergeCell ref="K11:L12"/>
    <mergeCell ref="K5:N5"/>
    <mergeCell ref="O5:S5"/>
    <mergeCell ref="T5:W5"/>
    <mergeCell ref="C11:E12"/>
    <mergeCell ref="B7:D7"/>
    <mergeCell ref="E7:L7"/>
    <mergeCell ref="M7:P7"/>
    <mergeCell ref="Q7:U7"/>
    <mergeCell ref="X27:Z27"/>
    <mergeCell ref="B10:D10"/>
    <mergeCell ref="E10:L10"/>
    <mergeCell ref="Q10:Z10"/>
    <mergeCell ref="M11:U11"/>
    <mergeCell ref="M8:P10"/>
    <mergeCell ref="B8:D8"/>
    <mergeCell ref="E8:L8"/>
    <mergeCell ref="Q8:Z8"/>
    <mergeCell ref="B9:D9"/>
    <mergeCell ref="E9:L9"/>
    <mergeCell ref="Q9:Z9"/>
    <mergeCell ref="B11:B12"/>
    <mergeCell ref="J11:J12"/>
    <mergeCell ref="V11:V12"/>
    <mergeCell ref="W11:W12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"/>
  <dimension ref="E1:AF53"/>
  <sheetViews>
    <sheetView view="pageBreakPreview" topLeftCell="A4" zoomScaleSheetLayoutView="100" workbookViewId="0">
      <selection activeCell="O22" sqref="O22:AF22"/>
    </sheetView>
  </sheetViews>
  <sheetFormatPr defaultColWidth="2.625" defaultRowHeight="13.5"/>
  <cols>
    <col min="1" max="16384" width="2.625" style="1"/>
  </cols>
  <sheetData>
    <row r="1" spans="15:32" ht="13.15" customHeight="1"/>
    <row r="2" spans="15:32" ht="13.15" customHeight="1"/>
    <row r="3" spans="15:32" ht="13.15" customHeight="1"/>
    <row r="4" spans="15:32" ht="13.15" customHeight="1"/>
    <row r="5" spans="15:32" ht="13.15" customHeight="1"/>
    <row r="6" spans="15:32" ht="13.15" customHeight="1"/>
    <row r="13" spans="15:32">
      <c r="O13" s="2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9"/>
    </row>
    <row r="14" spans="15:32">
      <c r="O14" s="221" t="str">
        <f>封页!T8</f>
        <v>hello_db</v>
      </c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3"/>
    </row>
    <row r="15" spans="15:32">
      <c r="O15" s="4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10"/>
    </row>
    <row r="16" spans="15:32">
      <c r="O16" s="221" t="str">
        <f>封页!T11</f>
        <v>数据库（DB）</v>
      </c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3"/>
    </row>
    <row r="17" spans="15:32">
      <c r="O17" s="4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10"/>
    </row>
    <row r="18" spans="15:32">
      <c r="O18" s="221" t="str">
        <f>封页!T14</f>
        <v>数据表结构设计书</v>
      </c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3"/>
    </row>
    <row r="19" spans="15:32">
      <c r="O19" s="4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10"/>
    </row>
    <row r="20" spans="15:32">
      <c r="O20" s="221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  <c r="AD20" s="222"/>
      <c r="AE20" s="222"/>
      <c r="AF20" s="223"/>
    </row>
    <row r="21" spans="15:32">
      <c r="O21" s="4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0"/>
    </row>
    <row r="22" spans="15:32">
      <c r="O22" s="221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2"/>
      <c r="AF22" s="223"/>
    </row>
    <row r="23" spans="15:32">
      <c r="O23" s="6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10"/>
    </row>
    <row r="24" spans="15:32">
      <c r="O24" s="221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3"/>
    </row>
    <row r="25" spans="15:32">
      <c r="O25" s="221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  <c r="AD25" s="222"/>
      <c r="AE25" s="222"/>
      <c r="AF25" s="223"/>
    </row>
    <row r="26" spans="15:32">
      <c r="O26" s="7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11"/>
    </row>
    <row r="53" spans="5:5">
      <c r="E53" s="1" t="s">
        <v>87</v>
      </c>
    </row>
  </sheetData>
  <mergeCells count="7">
    <mergeCell ref="O24:AF24"/>
    <mergeCell ref="O25:AF25"/>
    <mergeCell ref="O14:AF14"/>
    <mergeCell ref="O16:AF16"/>
    <mergeCell ref="O18:AF18"/>
    <mergeCell ref="O20:AF20"/>
    <mergeCell ref="O22:AF22"/>
  </mergeCells>
  <phoneticPr fontId="3" type="noConversion"/>
  <pageMargins left="0.78680555555555598" right="0.78680555555555598" top="0.98402777777777795" bottom="0.70763888888888904" header="0.51180555555555596" footer="0.51180555555555596"/>
  <pageSetup paperSize="9" orientation="portrait" horizont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5"/>
  <dimension ref="A1:Z75"/>
  <sheetViews>
    <sheetView view="pageBreakPreview" topLeftCell="C1" zoomScaleSheetLayoutView="100" workbookViewId="0">
      <selection activeCell="Q31" sqref="Q31"/>
    </sheetView>
  </sheetViews>
  <sheetFormatPr defaultColWidth="9.125" defaultRowHeight="11.25"/>
  <cols>
    <col min="1" max="1" width="0.875" style="12" customWidth="1"/>
    <col min="2" max="2" width="3.125" style="12" customWidth="1"/>
    <col min="3" max="4" width="2.625" style="12" customWidth="1"/>
    <col min="5" max="5" width="12.75" style="12" customWidth="1"/>
    <col min="6" max="8" width="2.625" style="12" customWidth="1"/>
    <col min="9" max="9" width="1.625" style="12" customWidth="1"/>
    <col min="10" max="10" width="21.625" style="12" customWidth="1"/>
    <col min="11" max="11" width="3" style="12" customWidth="1"/>
    <col min="12" max="12" width="2.625" style="12" customWidth="1"/>
    <col min="13" max="21" width="2.125" style="12" customWidth="1"/>
    <col min="22" max="22" width="3.625" style="12" customWidth="1"/>
    <col min="23" max="23" width="2.375" style="12" customWidth="1"/>
    <col min="24" max="25" width="2.625" style="12" customWidth="1"/>
    <col min="26" max="26" width="15.875" style="12" customWidth="1"/>
    <col min="27" max="16384" width="9.125" style="12"/>
  </cols>
  <sheetData>
    <row r="1" spans="1:26" ht="9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3.5" customHeight="1">
      <c r="A2" s="13"/>
      <c r="B2" s="200" t="s">
        <v>53</v>
      </c>
      <c r="C2" s="200"/>
      <c r="D2" s="200"/>
      <c r="E2" s="14"/>
      <c r="F2" s="200" t="s">
        <v>54</v>
      </c>
      <c r="G2" s="200"/>
      <c r="H2" s="200"/>
      <c r="I2" s="27"/>
      <c r="J2" s="14"/>
      <c r="K2" s="200" t="s">
        <v>55</v>
      </c>
      <c r="L2" s="200"/>
      <c r="M2" s="200"/>
      <c r="N2" s="200"/>
      <c r="O2" s="200"/>
      <c r="P2" s="200"/>
      <c r="Q2" s="200"/>
      <c r="R2" s="200"/>
      <c r="S2" s="200"/>
      <c r="T2" s="200" t="s">
        <v>56</v>
      </c>
      <c r="U2" s="200"/>
      <c r="V2" s="200"/>
      <c r="W2" s="200"/>
      <c r="X2" s="200" t="s">
        <v>9</v>
      </c>
      <c r="Y2" s="200"/>
      <c r="Z2" s="200"/>
    </row>
    <row r="3" spans="1:26" ht="13.5" customHeight="1">
      <c r="A3" s="13"/>
      <c r="B3" s="210" t="s">
        <v>57</v>
      </c>
      <c r="C3" s="210"/>
      <c r="D3" s="210"/>
      <c r="E3" s="210"/>
      <c r="F3" s="211" t="s">
        <v>58</v>
      </c>
      <c r="G3" s="211"/>
      <c r="H3" s="211"/>
      <c r="I3" s="211"/>
      <c r="J3" s="211"/>
      <c r="K3" s="207"/>
      <c r="L3" s="207"/>
      <c r="M3" s="207"/>
      <c r="N3" s="207"/>
      <c r="O3" s="208"/>
      <c r="P3" s="208"/>
      <c r="Q3" s="208"/>
      <c r="R3" s="208"/>
      <c r="S3" s="208"/>
      <c r="T3" s="207"/>
      <c r="U3" s="207"/>
      <c r="V3" s="207"/>
      <c r="W3" s="207"/>
      <c r="X3" s="212"/>
      <c r="Y3" s="212"/>
      <c r="Z3" s="212"/>
    </row>
    <row r="4" spans="1:26" ht="13.5" customHeight="1">
      <c r="A4" s="13"/>
      <c r="B4" s="210"/>
      <c r="C4" s="210"/>
      <c r="D4" s="210"/>
      <c r="E4" s="210"/>
      <c r="F4" s="211"/>
      <c r="G4" s="211"/>
      <c r="H4" s="211"/>
      <c r="I4" s="211"/>
      <c r="J4" s="211"/>
      <c r="K4" s="207"/>
      <c r="L4" s="207"/>
      <c r="M4" s="207"/>
      <c r="N4" s="207"/>
      <c r="O4" s="208"/>
      <c r="P4" s="208"/>
      <c r="Q4" s="208"/>
      <c r="R4" s="208"/>
      <c r="S4" s="208"/>
      <c r="T4" s="207"/>
      <c r="U4" s="207"/>
      <c r="V4" s="207"/>
      <c r="W4" s="207"/>
      <c r="X4" s="212"/>
      <c r="Y4" s="212"/>
      <c r="Z4" s="212"/>
    </row>
    <row r="5" spans="1:26" ht="13.5" customHeight="1">
      <c r="A5" s="13"/>
      <c r="B5" s="210"/>
      <c r="C5" s="210"/>
      <c r="D5" s="210"/>
      <c r="E5" s="210"/>
      <c r="F5" s="211"/>
      <c r="G5" s="211"/>
      <c r="H5" s="211"/>
      <c r="I5" s="211"/>
      <c r="J5" s="211"/>
      <c r="K5" s="207"/>
      <c r="L5" s="207"/>
      <c r="M5" s="207"/>
      <c r="N5" s="207"/>
      <c r="O5" s="208"/>
      <c r="P5" s="208"/>
      <c r="Q5" s="208"/>
      <c r="R5" s="208"/>
      <c r="S5" s="208"/>
      <c r="T5" s="207"/>
      <c r="U5" s="207"/>
      <c r="V5" s="207"/>
      <c r="W5" s="207"/>
      <c r="X5" s="212"/>
      <c r="Y5" s="212"/>
      <c r="Z5" s="212"/>
    </row>
    <row r="6" spans="1:26" ht="13.5" customHeight="1">
      <c r="A6" s="13"/>
      <c r="B6" s="209" t="s">
        <v>59</v>
      </c>
      <c r="C6" s="209"/>
      <c r="D6" s="209"/>
      <c r="E6" s="213"/>
      <c r="F6" s="213"/>
      <c r="G6" s="213"/>
      <c r="H6" s="213"/>
      <c r="I6" s="213"/>
      <c r="J6" s="213"/>
      <c r="K6" s="213"/>
      <c r="L6" s="213"/>
      <c r="M6" s="200" t="s">
        <v>60</v>
      </c>
      <c r="N6" s="200"/>
      <c r="O6" s="200"/>
      <c r="P6" s="200"/>
      <c r="Q6" s="203"/>
      <c r="R6" s="203"/>
      <c r="S6" s="203"/>
      <c r="T6" s="203"/>
      <c r="U6" s="203"/>
      <c r="V6" s="203"/>
      <c r="W6" s="203"/>
      <c r="X6" s="203"/>
      <c r="Y6" s="203"/>
      <c r="Z6" s="203"/>
    </row>
    <row r="7" spans="1:26" ht="13.5" customHeight="1">
      <c r="A7" s="13"/>
      <c r="B7" s="200" t="s">
        <v>61</v>
      </c>
      <c r="C7" s="200"/>
      <c r="D7" s="200"/>
      <c r="E7" s="214"/>
      <c r="F7" s="214"/>
      <c r="G7" s="214"/>
      <c r="H7" s="214"/>
      <c r="I7" s="214"/>
      <c r="J7" s="214"/>
      <c r="K7" s="214"/>
      <c r="L7" s="214"/>
      <c r="M7" s="200" t="s">
        <v>62</v>
      </c>
      <c r="N7" s="200"/>
      <c r="O7" s="200"/>
      <c r="P7" s="200"/>
      <c r="Q7" s="206">
        <f>SUM(K13:L225)+COUNTIF(J13:J225,"decimal")*17+COUNTIF(J13:J225,"text")*200-SUMIF(J13:J225,"decimal",K13:K225)-SUMIF(J13:J225,"decimal",L13:L225)-SUMIF(J13:J225,"text",K13:K225)-SUMIF(J13:J225,"text",L13:L225)</f>
        <v>0</v>
      </c>
      <c r="R7" s="206"/>
      <c r="S7" s="206"/>
      <c r="T7" s="206"/>
      <c r="U7" s="206"/>
      <c r="V7" s="200" t="s">
        <v>48</v>
      </c>
      <c r="W7" s="200"/>
      <c r="X7" s="200"/>
      <c r="Y7" s="200"/>
      <c r="Z7" s="42"/>
    </row>
    <row r="8" spans="1:26" ht="13.5" customHeight="1">
      <c r="A8" s="13"/>
      <c r="B8" s="200" t="s">
        <v>63</v>
      </c>
      <c r="C8" s="200"/>
      <c r="D8" s="200"/>
      <c r="E8" s="202" t="s">
        <v>64</v>
      </c>
      <c r="F8" s="202"/>
      <c r="G8" s="202"/>
      <c r="H8" s="202"/>
      <c r="I8" s="202"/>
      <c r="J8" s="202"/>
      <c r="K8" s="202"/>
      <c r="L8" s="202"/>
      <c r="M8" s="204" t="s">
        <v>65</v>
      </c>
      <c r="N8" s="204"/>
      <c r="O8" s="204"/>
      <c r="P8" s="204"/>
      <c r="Q8" s="203" t="s">
        <v>66</v>
      </c>
      <c r="R8" s="203"/>
      <c r="S8" s="203"/>
      <c r="T8" s="203"/>
      <c r="U8" s="203"/>
      <c r="V8" s="203"/>
      <c r="W8" s="203"/>
      <c r="X8" s="203"/>
      <c r="Y8" s="203"/>
      <c r="Z8" s="203"/>
    </row>
    <row r="9" spans="1:26" ht="13.5" customHeight="1">
      <c r="A9" s="13"/>
      <c r="B9" s="200" t="s">
        <v>67</v>
      </c>
      <c r="C9" s="200"/>
      <c r="D9" s="200"/>
      <c r="E9" s="202" t="s">
        <v>68</v>
      </c>
      <c r="F9" s="202"/>
      <c r="G9" s="202"/>
      <c r="H9" s="202"/>
      <c r="I9" s="202"/>
      <c r="J9" s="202"/>
      <c r="K9" s="202"/>
      <c r="L9" s="202"/>
      <c r="M9" s="204"/>
      <c r="N9" s="204"/>
      <c r="O9" s="204"/>
      <c r="P9" s="204"/>
      <c r="Q9" s="203" t="s">
        <v>69</v>
      </c>
      <c r="R9" s="203"/>
      <c r="S9" s="203"/>
      <c r="T9" s="203"/>
      <c r="U9" s="203"/>
      <c r="V9" s="203"/>
      <c r="W9" s="203"/>
      <c r="X9" s="203"/>
      <c r="Y9" s="203"/>
      <c r="Z9" s="203"/>
    </row>
    <row r="10" spans="1:26" ht="13.5" customHeight="1">
      <c r="A10" s="13"/>
      <c r="B10" s="200" t="s">
        <v>70</v>
      </c>
      <c r="C10" s="200"/>
      <c r="D10" s="200"/>
      <c r="E10" s="202"/>
      <c r="F10" s="202"/>
      <c r="G10" s="202"/>
      <c r="H10" s="202"/>
      <c r="I10" s="202"/>
      <c r="J10" s="202"/>
      <c r="K10" s="202"/>
      <c r="L10" s="202"/>
      <c r="M10" s="204"/>
      <c r="N10" s="204"/>
      <c r="O10" s="204"/>
      <c r="P10" s="204"/>
      <c r="Q10" s="203" t="s">
        <v>71</v>
      </c>
      <c r="R10" s="203"/>
      <c r="S10" s="203"/>
      <c r="T10" s="203"/>
      <c r="U10" s="203"/>
      <c r="V10" s="203"/>
      <c r="W10" s="203"/>
      <c r="X10" s="203"/>
      <c r="Y10" s="203"/>
      <c r="Z10" s="203"/>
    </row>
    <row r="11" spans="1:26" ht="13.5" customHeight="1">
      <c r="A11" s="13"/>
      <c r="B11" s="200" t="s">
        <v>42</v>
      </c>
      <c r="C11" s="200" t="s">
        <v>72</v>
      </c>
      <c r="D11" s="200"/>
      <c r="E11" s="200"/>
      <c r="F11" s="200" t="s">
        <v>59</v>
      </c>
      <c r="G11" s="200"/>
      <c r="H11" s="200"/>
      <c r="I11" s="200"/>
      <c r="J11" s="200" t="s">
        <v>44</v>
      </c>
      <c r="K11" s="201" t="s">
        <v>73</v>
      </c>
      <c r="L11" s="201"/>
      <c r="M11" s="204" t="s">
        <v>74</v>
      </c>
      <c r="N11" s="204"/>
      <c r="O11" s="204"/>
      <c r="P11" s="204"/>
      <c r="Q11" s="204"/>
      <c r="R11" s="204"/>
      <c r="S11" s="204"/>
      <c r="T11" s="204"/>
      <c r="U11" s="204"/>
      <c r="V11" s="205" t="s">
        <v>75</v>
      </c>
      <c r="W11" s="199" t="s">
        <v>76</v>
      </c>
      <c r="X11" s="200" t="s">
        <v>9</v>
      </c>
      <c r="Y11" s="200"/>
      <c r="Z11" s="200"/>
    </row>
    <row r="12" spans="1:26" ht="13.5" customHeight="1">
      <c r="A12" s="13"/>
      <c r="B12" s="200"/>
      <c r="C12" s="200"/>
      <c r="D12" s="200"/>
      <c r="E12" s="200"/>
      <c r="F12" s="200"/>
      <c r="G12" s="200"/>
      <c r="H12" s="200"/>
      <c r="I12" s="200"/>
      <c r="J12" s="200"/>
      <c r="K12" s="201"/>
      <c r="L12" s="201"/>
      <c r="M12" s="29" t="s">
        <v>77</v>
      </c>
      <c r="N12" s="30" t="s">
        <v>78</v>
      </c>
      <c r="O12" s="30" t="s">
        <v>78</v>
      </c>
      <c r="P12" s="30" t="s">
        <v>78</v>
      </c>
      <c r="Q12" s="30" t="s">
        <v>78</v>
      </c>
      <c r="R12" s="30" t="s">
        <v>78</v>
      </c>
      <c r="S12" s="30" t="s">
        <v>78</v>
      </c>
      <c r="T12" s="30" t="s">
        <v>78</v>
      </c>
      <c r="U12" s="39" t="s">
        <v>78</v>
      </c>
      <c r="V12" s="205"/>
      <c r="W12" s="199"/>
      <c r="X12" s="200"/>
      <c r="Y12" s="200"/>
      <c r="Z12" s="200"/>
    </row>
    <row r="13" spans="1:26" ht="13.5" customHeight="1">
      <c r="B13" s="16">
        <f t="shared" ref="B13" si="0">ROW()-12</f>
        <v>1</v>
      </c>
      <c r="C13" s="17"/>
      <c r="D13" s="18"/>
      <c r="E13" s="19"/>
      <c r="F13" s="20"/>
      <c r="G13" s="21"/>
      <c r="H13" s="21"/>
      <c r="I13" s="31"/>
      <c r="J13" s="16"/>
      <c r="K13" s="32"/>
      <c r="L13" s="33"/>
      <c r="M13" s="34"/>
      <c r="N13" s="35"/>
      <c r="O13" s="36"/>
      <c r="P13" s="36"/>
      <c r="Q13" s="35"/>
      <c r="R13" s="35"/>
      <c r="S13" s="35"/>
      <c r="T13" s="35"/>
      <c r="U13" s="40"/>
      <c r="V13" s="41"/>
      <c r="W13" s="41"/>
      <c r="X13" s="198"/>
      <c r="Y13" s="198"/>
      <c r="Z13" s="198"/>
    </row>
    <row r="14" spans="1:26" ht="13.5" customHeight="1">
      <c r="B14" s="16">
        <f t="shared" ref="B14:B19" si="1">ROW()-12</f>
        <v>2</v>
      </c>
      <c r="C14" s="17"/>
      <c r="D14" s="18"/>
      <c r="E14" s="19"/>
      <c r="F14" s="20"/>
      <c r="G14" s="21"/>
      <c r="H14" s="21"/>
      <c r="I14" s="31"/>
      <c r="J14" s="16"/>
      <c r="K14" s="32"/>
      <c r="L14" s="33"/>
      <c r="M14" s="34"/>
      <c r="N14" s="35"/>
      <c r="O14" s="36"/>
      <c r="P14" s="36"/>
      <c r="Q14" s="35"/>
      <c r="R14" s="35"/>
      <c r="S14" s="35"/>
      <c r="T14" s="35"/>
      <c r="U14" s="40"/>
      <c r="V14" s="41"/>
      <c r="W14" s="41"/>
      <c r="X14" s="198"/>
      <c r="Y14" s="198"/>
      <c r="Z14" s="198"/>
    </row>
    <row r="15" spans="1:26" ht="13.5" customHeight="1">
      <c r="B15" s="16">
        <f t="shared" si="1"/>
        <v>3</v>
      </c>
      <c r="C15" s="17"/>
      <c r="D15" s="18"/>
      <c r="E15" s="19"/>
      <c r="F15" s="20"/>
      <c r="G15" s="21"/>
      <c r="H15" s="21"/>
      <c r="I15" s="31"/>
      <c r="J15" s="16"/>
      <c r="K15" s="32"/>
      <c r="L15" s="33"/>
      <c r="M15" s="34"/>
      <c r="N15" s="35"/>
      <c r="O15" s="36"/>
      <c r="P15" s="36"/>
      <c r="Q15" s="35"/>
      <c r="R15" s="35"/>
      <c r="S15" s="35"/>
      <c r="T15" s="35"/>
      <c r="U15" s="40"/>
      <c r="V15" s="41"/>
      <c r="W15" s="41"/>
      <c r="X15" s="197"/>
      <c r="Y15" s="198"/>
      <c r="Z15" s="198"/>
    </row>
    <row r="16" spans="1:26" ht="13.5" customHeight="1">
      <c r="B16" s="16">
        <f t="shared" si="1"/>
        <v>4</v>
      </c>
      <c r="C16" s="20"/>
      <c r="D16" s="22"/>
      <c r="E16" s="23"/>
      <c r="F16" s="20"/>
      <c r="G16" s="21"/>
      <c r="H16" s="21"/>
      <c r="I16" s="31"/>
      <c r="J16" s="15"/>
      <c r="K16" s="37"/>
      <c r="L16" s="33"/>
      <c r="M16" s="34"/>
      <c r="N16" s="35"/>
      <c r="O16" s="36"/>
      <c r="P16" s="36"/>
      <c r="Q16" s="35"/>
      <c r="R16" s="35"/>
      <c r="S16" s="35"/>
      <c r="T16" s="35"/>
      <c r="U16" s="40"/>
      <c r="V16" s="41"/>
      <c r="W16" s="41"/>
      <c r="X16" s="198"/>
      <c r="Y16" s="198"/>
      <c r="Z16" s="198"/>
    </row>
    <row r="17" spans="1:26" ht="13.5" customHeight="1">
      <c r="A17" s="24"/>
      <c r="B17" s="16">
        <f t="shared" si="1"/>
        <v>5</v>
      </c>
      <c r="C17" s="20"/>
      <c r="D17" s="22"/>
      <c r="E17" s="23"/>
      <c r="F17" s="20"/>
      <c r="G17" s="21"/>
      <c r="H17" s="21"/>
      <c r="I17" s="31"/>
      <c r="J17" s="15"/>
      <c r="K17" s="37"/>
      <c r="L17" s="33"/>
      <c r="M17" s="34"/>
      <c r="N17" s="35"/>
      <c r="O17" s="36"/>
      <c r="P17" s="36"/>
      <c r="Q17" s="35"/>
      <c r="R17" s="35"/>
      <c r="S17" s="35"/>
      <c r="T17" s="35"/>
      <c r="U17" s="40"/>
      <c r="V17" s="41"/>
      <c r="W17" s="41"/>
      <c r="X17" s="198"/>
      <c r="Y17" s="198"/>
      <c r="Z17" s="198"/>
    </row>
    <row r="18" spans="1:26" ht="13.5" customHeight="1">
      <c r="B18" s="16">
        <f t="shared" si="1"/>
        <v>6</v>
      </c>
      <c r="C18" s="20"/>
      <c r="D18" s="22"/>
      <c r="E18" s="23"/>
      <c r="F18" s="20"/>
      <c r="G18" s="21"/>
      <c r="H18" s="21"/>
      <c r="I18" s="31"/>
      <c r="J18" s="15"/>
      <c r="K18" s="37"/>
      <c r="L18" s="33"/>
      <c r="M18" s="34"/>
      <c r="N18" s="35"/>
      <c r="O18" s="36"/>
      <c r="P18" s="36"/>
      <c r="Q18" s="35"/>
      <c r="R18" s="35"/>
      <c r="S18" s="35"/>
      <c r="T18" s="35"/>
      <c r="U18" s="40"/>
      <c r="V18" s="41"/>
      <c r="W18" s="41"/>
      <c r="X18" s="198"/>
      <c r="Y18" s="198"/>
      <c r="Z18" s="198"/>
    </row>
    <row r="19" spans="1:26" ht="13.5" customHeight="1">
      <c r="A19" s="24"/>
      <c r="B19" s="16">
        <f t="shared" si="1"/>
        <v>7</v>
      </c>
      <c r="C19" s="20"/>
      <c r="D19" s="22"/>
      <c r="E19" s="23"/>
      <c r="F19" s="20"/>
      <c r="G19" s="21"/>
      <c r="H19" s="21"/>
      <c r="I19" s="31"/>
      <c r="J19" s="15"/>
      <c r="K19" s="37"/>
      <c r="L19" s="33"/>
      <c r="M19" s="34"/>
      <c r="N19" s="35"/>
      <c r="O19" s="36"/>
      <c r="P19" s="36"/>
      <c r="Q19" s="35"/>
      <c r="R19" s="35"/>
      <c r="S19" s="35"/>
      <c r="T19" s="35"/>
      <c r="U19" s="40"/>
      <c r="V19" s="41"/>
      <c r="W19" s="41"/>
      <c r="X19" s="198"/>
      <c r="Y19" s="198"/>
      <c r="Z19" s="198"/>
    </row>
    <row r="20" spans="1:26"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26"/>
      <c r="Y20" s="26"/>
      <c r="Z20" s="24"/>
    </row>
    <row r="21" spans="1:26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26"/>
      <c r="Y21" s="26"/>
      <c r="Z21" s="24"/>
    </row>
    <row r="22" spans="1:26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26"/>
      <c r="Y22" s="26"/>
      <c r="Z22" s="24"/>
    </row>
    <row r="23" spans="1:26"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26"/>
      <c r="Y23" s="26"/>
      <c r="Z23" s="24"/>
    </row>
    <row r="24" spans="1:26"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26"/>
      <c r="Y24" s="26"/>
      <c r="Z24" s="24"/>
    </row>
    <row r="25" spans="1:26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26"/>
      <c r="Y25" s="26"/>
      <c r="Z25" s="24"/>
    </row>
    <row r="26" spans="1:26"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26"/>
      <c r="Y26" s="26"/>
      <c r="Z26" s="24"/>
    </row>
    <row r="27" spans="1:26"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26"/>
      <c r="Y27" s="26"/>
      <c r="Z27" s="24"/>
    </row>
    <row r="28" spans="1:26"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26"/>
      <c r="Y28" s="26"/>
      <c r="Z28" s="24"/>
    </row>
    <row r="29" spans="1:26"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26"/>
      <c r="Y29" s="26"/>
      <c r="Z29" s="24"/>
    </row>
    <row r="30" spans="1:26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26"/>
      <c r="Y30" s="26"/>
      <c r="Z30" s="24"/>
    </row>
    <row r="31" spans="1:26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26"/>
      <c r="Y31" s="26"/>
      <c r="Z31" s="24"/>
    </row>
    <row r="32" spans="1:26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26"/>
      <c r="Y32" s="26"/>
      <c r="Z32" s="24"/>
    </row>
    <row r="33" spans="2:26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26"/>
      <c r="Y33" s="26"/>
      <c r="Z33" s="24"/>
    </row>
    <row r="34" spans="2:26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26"/>
      <c r="Y34" s="26"/>
      <c r="Z34" s="24"/>
    </row>
    <row r="35" spans="2:26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26"/>
      <c r="Y35" s="26"/>
      <c r="Z35" s="24"/>
    </row>
    <row r="36" spans="2:26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26"/>
      <c r="Y36" s="26"/>
      <c r="Z36" s="24"/>
    </row>
    <row r="37" spans="2:26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26"/>
      <c r="Y37" s="26"/>
      <c r="Z37" s="24"/>
    </row>
    <row r="38" spans="2:26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26"/>
      <c r="Y38" s="26"/>
      <c r="Z38" s="24"/>
    </row>
    <row r="39" spans="2:26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26"/>
      <c r="Y39" s="26"/>
      <c r="Z39" s="24"/>
    </row>
    <row r="40" spans="2:26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26"/>
      <c r="Y40" s="26"/>
      <c r="Z40" s="24"/>
    </row>
    <row r="41" spans="2:26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26"/>
      <c r="Y41" s="26"/>
      <c r="Z41" s="24"/>
    </row>
    <row r="42" spans="2:26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26"/>
      <c r="Y42" s="26"/>
      <c r="Z42" s="24"/>
    </row>
    <row r="43" spans="2:26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26"/>
      <c r="Y43" s="26"/>
      <c r="Z43" s="24"/>
    </row>
    <row r="44" spans="2:26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26"/>
      <c r="Y44" s="26"/>
      <c r="Z44" s="24"/>
    </row>
    <row r="45" spans="2:26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26"/>
      <c r="Y45" s="26"/>
      <c r="Z45" s="24"/>
    </row>
    <row r="46" spans="2:26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26"/>
      <c r="Y46" s="26"/>
      <c r="Z46" s="24"/>
    </row>
    <row r="47" spans="2:26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26"/>
      <c r="Y47" s="26"/>
      <c r="Z47" s="24"/>
    </row>
    <row r="48" spans="2:26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26"/>
      <c r="Y48" s="26"/>
      <c r="Z48" s="24"/>
    </row>
    <row r="49" spans="2:26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26"/>
      <c r="Y49" s="26"/>
      <c r="Z49" s="24"/>
    </row>
    <row r="50" spans="2:26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26"/>
      <c r="Y50" s="26"/>
      <c r="Z50" s="24"/>
    </row>
    <row r="51" spans="2:26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26"/>
      <c r="Y51" s="26"/>
      <c r="Z51" s="24"/>
    </row>
    <row r="52" spans="2:26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26"/>
      <c r="Y52" s="26"/>
      <c r="Z52" s="24"/>
    </row>
    <row r="53" spans="2:26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26"/>
      <c r="Y53" s="26"/>
      <c r="Z53" s="24"/>
    </row>
    <row r="54" spans="2:26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26"/>
      <c r="Y54" s="26"/>
      <c r="Z54" s="24"/>
    </row>
    <row r="55" spans="2:26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26"/>
      <c r="Y55" s="26"/>
      <c r="Z55" s="24"/>
    </row>
    <row r="56" spans="2:26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26"/>
      <c r="Y56" s="26"/>
      <c r="Z56" s="24"/>
    </row>
    <row r="57" spans="2:26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26"/>
      <c r="Y57" s="26"/>
      <c r="Z57" s="24"/>
    </row>
    <row r="58" spans="2:26"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26"/>
      <c r="Y58" s="26"/>
      <c r="Z58" s="24"/>
    </row>
    <row r="59" spans="2:26"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26"/>
      <c r="Y59" s="26"/>
      <c r="Z59" s="24"/>
    </row>
    <row r="60" spans="2:26"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26"/>
      <c r="Y60" s="26"/>
      <c r="Z60" s="24"/>
    </row>
    <row r="61" spans="2:26"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26"/>
      <c r="Y61" s="26"/>
      <c r="Z61" s="24"/>
    </row>
    <row r="62" spans="2:26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26"/>
      <c r="Y62" s="26"/>
      <c r="Z62" s="24"/>
    </row>
    <row r="63" spans="2:26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26"/>
      <c r="Y63" s="26"/>
      <c r="Z63" s="24"/>
    </row>
    <row r="64" spans="2:26"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26"/>
      <c r="Y64" s="26"/>
      <c r="Z64" s="24"/>
    </row>
    <row r="65" spans="2:26"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26"/>
      <c r="Y65" s="26"/>
      <c r="Z65" s="24"/>
    </row>
    <row r="66" spans="2:26"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26"/>
      <c r="Y66" s="26"/>
      <c r="Z66" s="24"/>
    </row>
    <row r="67" spans="2:26"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26"/>
      <c r="Y67" s="26"/>
      <c r="Z67" s="24"/>
    </row>
    <row r="68" spans="2:26"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26"/>
      <c r="Y68" s="26"/>
      <c r="Z68" s="24"/>
    </row>
    <row r="69" spans="2:26"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26"/>
      <c r="Y69" s="26"/>
      <c r="Z69" s="24"/>
    </row>
    <row r="70" spans="2:26"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26"/>
      <c r="Y70" s="26"/>
      <c r="Z70" s="24"/>
    </row>
    <row r="71" spans="2:26"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26"/>
      <c r="Y71" s="26"/>
      <c r="Z71" s="24"/>
    </row>
    <row r="72" spans="2:26"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26"/>
      <c r="Y72" s="26"/>
      <c r="Z72" s="24"/>
    </row>
    <row r="73" spans="2:26"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26"/>
      <c r="Y73" s="26"/>
      <c r="Z73" s="24"/>
    </row>
    <row r="74" spans="2:26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26"/>
      <c r="Y74" s="26"/>
      <c r="Z74" s="24"/>
    </row>
    <row r="75" spans="2:26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26"/>
      <c r="Y75" s="26"/>
      <c r="Z75" s="24"/>
    </row>
  </sheetData>
  <sheetProtection selectLockedCells="1" selectUnlockedCells="1"/>
  <mergeCells count="52">
    <mergeCell ref="B2:D2"/>
    <mergeCell ref="F2:H2"/>
    <mergeCell ref="K2:S2"/>
    <mergeCell ref="T2:W2"/>
    <mergeCell ref="X2:Z2"/>
    <mergeCell ref="K5:N5"/>
    <mergeCell ref="O5:S5"/>
    <mergeCell ref="T5:W5"/>
    <mergeCell ref="B6:D6"/>
    <mergeCell ref="E6:L6"/>
    <mergeCell ref="M6:P6"/>
    <mergeCell ref="Q6:Z6"/>
    <mergeCell ref="B3:E5"/>
    <mergeCell ref="F3:J5"/>
    <mergeCell ref="X3:Z5"/>
    <mergeCell ref="K3:N3"/>
    <mergeCell ref="O3:S3"/>
    <mergeCell ref="T3:W3"/>
    <mergeCell ref="K4:N4"/>
    <mergeCell ref="O4:S4"/>
    <mergeCell ref="T4:W4"/>
    <mergeCell ref="B7:D7"/>
    <mergeCell ref="E7:L7"/>
    <mergeCell ref="M7:P7"/>
    <mergeCell ref="Q7:U7"/>
    <mergeCell ref="V7:Y7"/>
    <mergeCell ref="B10:D10"/>
    <mergeCell ref="E10:L10"/>
    <mergeCell ref="Q10:Z10"/>
    <mergeCell ref="M11:U11"/>
    <mergeCell ref="X13:Z13"/>
    <mergeCell ref="M8:P10"/>
    <mergeCell ref="B8:D8"/>
    <mergeCell ref="E8:L8"/>
    <mergeCell ref="Q8:Z8"/>
    <mergeCell ref="B9:D9"/>
    <mergeCell ref="E9:L9"/>
    <mergeCell ref="Q9:Z9"/>
    <mergeCell ref="X19:Z19"/>
    <mergeCell ref="B11:B12"/>
    <mergeCell ref="J11:J12"/>
    <mergeCell ref="V11:V12"/>
    <mergeCell ref="W11:W12"/>
    <mergeCell ref="C11:E12"/>
    <mergeCell ref="X11:Z12"/>
    <mergeCell ref="F11:I12"/>
    <mergeCell ref="K11:L12"/>
    <mergeCell ref="X14:Z14"/>
    <mergeCell ref="X15:Z15"/>
    <mergeCell ref="X16:Z16"/>
    <mergeCell ref="X17:Z17"/>
    <mergeCell ref="X18:Z18"/>
  </mergeCells>
  <phoneticPr fontId="3" type="noConversion"/>
  <printOptions horizontalCentered="1" verticalCentered="1"/>
  <pageMargins left="0.39374999999999999" right="0.39374999999999999" top="0.39374999999999999" bottom="0.39374999999999999" header="0.51041666666666696" footer="0.51041666666666696"/>
  <pageSetup paperSize="9" scale="85" firstPageNumber="0" orientation="portrait" useFirstPageNumber="1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8</vt:i4>
      </vt:variant>
    </vt:vector>
  </HeadingPairs>
  <TitlesOfParts>
    <vt:vector size="24" baseType="lpstr">
      <vt:lpstr>封页</vt:lpstr>
      <vt:lpstr>设计原则</vt:lpstr>
      <vt:lpstr>履历</vt:lpstr>
      <vt:lpstr>表名一览</vt:lpstr>
      <vt:lpstr>存储过程</vt:lpstr>
      <vt:lpstr>函数</vt:lpstr>
      <vt:lpstr>s_code</vt:lpstr>
      <vt:lpstr>code_content</vt:lpstr>
      <vt:lpstr>s_serial</vt:lpstr>
      <vt:lpstr>s_user</vt:lpstr>
      <vt:lpstr>s_interface</vt:lpstr>
      <vt:lpstr>ebs_book</vt:lpstr>
      <vt:lpstr>ebs_book_content</vt:lpstr>
      <vt:lpstr>m_simcard</vt:lpstr>
      <vt:lpstr>衬页</vt:lpstr>
      <vt:lpstr>模板</vt:lpstr>
      <vt:lpstr>表名一览!__xlnm._FilterDatabase</vt:lpstr>
      <vt:lpstr>履历!__xlnm._FilterDatabase</vt:lpstr>
      <vt:lpstr>表名一览!__xlnm._FilterDatabase_1</vt:lpstr>
      <vt:lpstr>履历!__xlnm._FilterDatabase_1</vt:lpstr>
      <vt:lpstr>表名一览!__xlnm._FilterDatabase_1_1</vt:lpstr>
      <vt:lpstr>履历!__xlnm._FilterDatabase_1_1</vt:lpstr>
      <vt:lpstr>衬页!Print_Area</vt:lpstr>
      <vt:lpstr>设计原则!Print_Area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binster</dc:creator>
  <cp:lastModifiedBy>dell</cp:lastModifiedBy>
  <cp:lastPrinted>2015-03-13T13:41:00Z</cp:lastPrinted>
  <dcterms:created xsi:type="dcterms:W3CDTF">2014-03-31T15:37:00Z</dcterms:created>
  <dcterms:modified xsi:type="dcterms:W3CDTF">2018-06-20T10:02:47Z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WorkbookGuid">
    <vt:lpwstr>d8e35e72-447d-4e8a-89ef-f5f83220a31c</vt:lpwstr>
  </property>
</Properties>
</file>